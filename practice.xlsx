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cuments\"/>
    </mc:Choice>
  </mc:AlternateContent>
  <xr:revisionPtr revIDLastSave="0" documentId="8_{D353B926-F57D-4577-A058-60D59903AE26}" xr6:coauthVersionLast="47" xr6:coauthVersionMax="47" xr10:uidLastSave="{00000000-0000-0000-0000-000000000000}"/>
  <bookViews>
    <workbookView xWindow="-108" yWindow="-108" windowWidth="23256" windowHeight="12456" xr2:uid="{14950B30-E45A-451A-86B3-43433318B5FD}"/>
  </bookViews>
  <sheets>
    <sheet name="Sheet1" sheetId="1" r:id="rId1"/>
  </sheets>
  <definedNames>
    <definedName name="_xlchart.v1.0" hidden="1">Sheet1!$B$2:$B$21</definedName>
    <definedName name="_xlchart.v1.1" hidden="1">Sheet1!$A$24</definedName>
    <definedName name="_xlchart.v1.2" hidden="1">Sheet1!$A$25:$A$34</definedName>
    <definedName name="_xlchart.v1.3" hidden="1">Sheet1!$B$24</definedName>
    <definedName name="_xlchart.v1.4" hidden="1">Sheet1!$B$25:$B$34</definedName>
    <definedName name="_xlchart.v1.5" hidden="1">Sheet1!$C$24</definedName>
    <definedName name="_xlchart.v1.6" hidden="1">Sheet1!$C$25:$C$34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AC16" i="1"/>
  <c r="W5" i="1"/>
  <c r="W6" i="1"/>
  <c r="W7" i="1"/>
  <c r="W8" i="1"/>
  <c r="W9" i="1"/>
  <c r="W10" i="1"/>
  <c r="W11" i="1"/>
  <c r="Y11" i="1" s="1"/>
  <c r="W12" i="1"/>
  <c r="Y12" i="1" s="1"/>
  <c r="W13" i="1"/>
  <c r="W4" i="1"/>
  <c r="Y5" i="1"/>
  <c r="Y6" i="1"/>
  <c r="Y7" i="1"/>
  <c r="Y8" i="1"/>
  <c r="Y9" i="1"/>
  <c r="Y10" i="1"/>
  <c r="Y13" i="1"/>
  <c r="Y4" i="1"/>
  <c r="X5" i="1"/>
  <c r="X6" i="1"/>
  <c r="X7" i="1"/>
  <c r="X8" i="1"/>
  <c r="X9" i="1"/>
  <c r="X10" i="1"/>
  <c r="X11" i="1"/>
  <c r="X12" i="1"/>
  <c r="X13" i="1"/>
  <c r="X4" i="1"/>
  <c r="X16" i="1"/>
  <c r="X15" i="1"/>
  <c r="V16" i="1"/>
  <c r="V15" i="1"/>
  <c r="F72" i="1"/>
  <c r="F73" i="1"/>
  <c r="F74" i="1"/>
  <c r="F75" i="1"/>
  <c r="F71" i="1"/>
  <c r="J66" i="1"/>
  <c r="I64" i="1"/>
  <c r="H60" i="1"/>
  <c r="H61" i="1"/>
  <c r="H62" i="1"/>
  <c r="H63" i="1"/>
  <c r="H59" i="1"/>
  <c r="G60" i="1"/>
  <c r="G61" i="1"/>
  <c r="G62" i="1"/>
  <c r="G63" i="1"/>
  <c r="G59" i="1"/>
  <c r="E66" i="1"/>
  <c r="F64" i="1"/>
  <c r="F60" i="1"/>
  <c r="F61" i="1"/>
  <c r="F62" i="1"/>
  <c r="F63" i="1"/>
  <c r="F59" i="1"/>
  <c r="E64" i="1"/>
  <c r="M51" i="1"/>
  <c r="L49" i="1"/>
  <c r="H49" i="1"/>
  <c r="I43" i="1"/>
  <c r="I49" i="1" s="1"/>
  <c r="I51" i="1" s="1"/>
  <c r="I53" i="1" s="1"/>
  <c r="I44" i="1"/>
  <c r="I45" i="1"/>
  <c r="I46" i="1"/>
  <c r="I47" i="1"/>
  <c r="I48" i="1"/>
  <c r="I42" i="1"/>
  <c r="Y14" i="1" l="1"/>
  <c r="AC15" i="1" s="1"/>
  <c r="J42" i="1"/>
  <c r="K42" i="1" s="1"/>
  <c r="J44" i="1"/>
  <c r="K44" i="1" s="1"/>
  <c r="J45" i="1"/>
  <c r="K45" i="1" s="1"/>
  <c r="J48" i="1"/>
  <c r="K48" i="1" s="1"/>
  <c r="I54" i="1"/>
  <c r="J43" i="1"/>
  <c r="K43" i="1" s="1"/>
  <c r="J46" i="1"/>
  <c r="K46" i="1" s="1"/>
  <c r="J47" i="1"/>
  <c r="K47" i="1" s="1"/>
  <c r="E44" i="1"/>
  <c r="E45" i="1"/>
  <c r="E46" i="1"/>
  <c r="G13" i="1" a="1"/>
  <c r="G13" i="1" s="1"/>
  <c r="G3" i="1"/>
  <c r="B22" i="1"/>
  <c r="C5" i="1" s="1"/>
  <c r="D5" i="1" s="1"/>
  <c r="C12" i="1" l="1"/>
  <c r="D12" i="1" s="1"/>
  <c r="C16" i="1"/>
  <c r="D16" i="1" s="1"/>
  <c r="C10" i="1"/>
  <c r="D10" i="1" s="1"/>
  <c r="C20" i="1"/>
  <c r="D20" i="1" s="1"/>
  <c r="C9" i="1"/>
  <c r="D9" i="1" s="1"/>
  <c r="C18" i="1"/>
  <c r="D18" i="1" s="1"/>
  <c r="C4" i="1"/>
  <c r="D4" i="1" s="1"/>
  <c r="C11" i="1"/>
  <c r="D11" i="1" s="1"/>
  <c r="C19" i="1"/>
  <c r="D19" i="1" s="1"/>
  <c r="C8" i="1"/>
  <c r="D8" i="1" s="1"/>
  <c r="C17" i="1"/>
  <c r="D17" i="1" s="1"/>
  <c r="C3" i="1"/>
  <c r="D3" i="1" s="1"/>
  <c r="C15" i="1"/>
  <c r="D15" i="1" s="1"/>
  <c r="C7" i="1"/>
  <c r="D7" i="1" s="1"/>
  <c r="C2" i="1"/>
  <c r="D2" i="1" s="1"/>
  <c r="C14" i="1"/>
  <c r="D14" i="1" s="1"/>
  <c r="C6" i="1"/>
  <c r="D6" i="1" s="1"/>
  <c r="C21" i="1"/>
  <c r="D21" i="1" s="1"/>
  <c r="C13" i="1"/>
  <c r="D13" i="1" s="1"/>
  <c r="D22" i="1" l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<sst xmlns="http://schemas.openxmlformats.org/spreadsheetml/2006/main" count="78" uniqueCount="72">
  <si>
    <t>Student Name</t>
  </si>
  <si>
    <t>Marks</t>
  </si>
  <si>
    <t>AARTI</t>
  </si>
  <si>
    <t xml:space="preserve">AAKANSHA </t>
  </si>
  <si>
    <t>ANJU</t>
  </si>
  <si>
    <t xml:space="preserve">ADARSH </t>
  </si>
  <si>
    <t xml:space="preserve">AMAN </t>
  </si>
  <si>
    <t>ANIKET</t>
  </si>
  <si>
    <t xml:space="preserve">ANISH </t>
  </si>
  <si>
    <t xml:space="preserve">ANUMEHA </t>
  </si>
  <si>
    <t xml:space="preserve">ASHISH </t>
  </si>
  <si>
    <t xml:space="preserve">AYUSH </t>
  </si>
  <si>
    <t xml:space="preserve">BIBHU </t>
  </si>
  <si>
    <t xml:space="preserve">DEBASIS </t>
  </si>
  <si>
    <t xml:space="preserve">GAUTAM </t>
  </si>
  <si>
    <t>HARSH</t>
  </si>
  <si>
    <t xml:space="preserve">ABDUL </t>
  </si>
  <si>
    <t>MOHAN</t>
  </si>
  <si>
    <t>NITIN</t>
  </si>
  <si>
    <t xml:space="preserve">OMKAR </t>
  </si>
  <si>
    <t>PRIYA</t>
  </si>
  <si>
    <t>xi-xbar</t>
  </si>
  <si>
    <t>(xi-xbar)^2</t>
  </si>
  <si>
    <t xml:space="preserve">variance </t>
  </si>
  <si>
    <t>using formula</t>
  </si>
  <si>
    <t xml:space="preserve">Bins </t>
  </si>
  <si>
    <t>frequency</t>
  </si>
  <si>
    <t>Brand A</t>
  </si>
  <si>
    <t>Brand B</t>
  </si>
  <si>
    <t>Brand C</t>
  </si>
  <si>
    <t>Data</t>
  </si>
  <si>
    <t>strem</t>
  </si>
  <si>
    <t>leaf</t>
  </si>
  <si>
    <t>max</t>
  </si>
  <si>
    <t>min</t>
  </si>
  <si>
    <t>r.v</t>
  </si>
  <si>
    <t xml:space="preserve">frequency </t>
  </si>
  <si>
    <t>x</t>
  </si>
  <si>
    <t>f</t>
  </si>
  <si>
    <t>x*f</t>
  </si>
  <si>
    <t>mean</t>
  </si>
  <si>
    <t>mean(np)</t>
  </si>
  <si>
    <t xml:space="preserve">no. of cases </t>
  </si>
  <si>
    <t>n</t>
  </si>
  <si>
    <t>p</t>
  </si>
  <si>
    <t>q</t>
  </si>
  <si>
    <t>P(X)</t>
  </si>
  <si>
    <t>N*P(X)</t>
  </si>
  <si>
    <t>Expeected value f(x)</t>
  </si>
  <si>
    <t xml:space="preserve">chi test </t>
  </si>
  <si>
    <t>Fit a possion distribution to the data</t>
  </si>
  <si>
    <t xml:space="preserve">No. of accident </t>
  </si>
  <si>
    <t xml:space="preserve">No. of days </t>
  </si>
  <si>
    <t>P(x)</t>
  </si>
  <si>
    <t>Expected value</t>
  </si>
  <si>
    <t xml:space="preserve">Regression </t>
  </si>
  <si>
    <t>X</t>
  </si>
  <si>
    <t>Y(calculated)</t>
  </si>
  <si>
    <t>Yc</t>
  </si>
  <si>
    <t>byx=-0.05</t>
  </si>
  <si>
    <t>S.No</t>
  </si>
  <si>
    <t>Xi</t>
  </si>
  <si>
    <t>Yi</t>
  </si>
  <si>
    <t>mean x</t>
  </si>
  <si>
    <t>std x</t>
  </si>
  <si>
    <t>mean Y</t>
  </si>
  <si>
    <t xml:space="preserve"> Std Y</t>
  </si>
  <si>
    <t>Zi(x)</t>
  </si>
  <si>
    <t>Zi(Y)</t>
  </si>
  <si>
    <t>Zi(x)*Zi(Y)</t>
  </si>
  <si>
    <t xml:space="preserve">sample Correlation 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</si>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</sst>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9ED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1" xfId="0" applyFont="1" applyBorder="1"/>
    <xf numFmtId="0" fontId="2" fillId="0" borderId="7" xfId="0" applyFont="1" applyBorder="1"/>
    <xf numFmtId="0" fontId="0" fillId="0" borderId="3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0" xfId="0" applyFill="1" applyBorder="1"/>
    <xf numFmtId="0" fontId="0" fillId="6" borderId="8" xfId="0" applyFill="1" applyBorder="1"/>
    <xf numFmtId="0" fontId="0" fillId="7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Sheet1!$A$24:$C$24</c:f>
              <c:strCache>
                <c:ptCount val="3"/>
                <c:pt idx="0">
                  <c:v>Brand A</c:v>
                </c:pt>
                <c:pt idx="1">
                  <c:v>Brand B</c:v>
                </c:pt>
                <c:pt idx="2">
                  <c:v>Brand C</c:v>
                </c:pt>
              </c:strCache>
            </c:strRef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AA5-4FAA-B51B-FCEE554E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78208"/>
        <c:axId val="83178688"/>
      </c:barChart>
      <c:scatterChart>
        <c:scatterStyle val="lineMarker"/>
        <c:varyColors val="0"/>
        <c:ser>
          <c:idx val="1"/>
          <c:order val="1"/>
          <c:tx>
            <c:strRef>
              <c:f>Sheet1!$A$24</c:f>
              <c:strCache>
                <c:ptCount val="1"/>
                <c:pt idx="0">
                  <c:v>Brand 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Sheet1!$D$25:$D$34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Sheet1!$A$25:$A$34</c:f>
              <c:numCache>
                <c:formatCode>General</c:formatCode>
                <c:ptCount val="10"/>
                <c:pt idx="0">
                  <c:v>1020</c:v>
                </c:pt>
                <c:pt idx="1">
                  <c:v>1560</c:v>
                </c:pt>
                <c:pt idx="2">
                  <c:v>560</c:v>
                </c:pt>
                <c:pt idx="3">
                  <c:v>780</c:v>
                </c:pt>
                <c:pt idx="4">
                  <c:v>990</c:v>
                </c:pt>
                <c:pt idx="5">
                  <c:v>670</c:v>
                </c:pt>
                <c:pt idx="6">
                  <c:v>510</c:v>
                </c:pt>
                <c:pt idx="7">
                  <c:v>490</c:v>
                </c:pt>
                <c:pt idx="8">
                  <c:v>380</c:v>
                </c:pt>
                <c:pt idx="9">
                  <c:v>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5-4FAA-B51B-FCEE554E47E9}"/>
            </c:ext>
          </c:extLst>
        </c:ser>
        <c:ser>
          <c:idx val="2"/>
          <c:order val="2"/>
          <c:tx>
            <c:strRef>
              <c:f>Sheet1!$B$24</c:f>
              <c:strCache>
                <c:ptCount val="1"/>
                <c:pt idx="0">
                  <c:v>Brand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Sheet1!$E$25:$E$34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xVal>
          <c:yVal>
            <c:numRef>
              <c:f>Sheet1!$B$25:$B$34</c:f>
              <c:numCache>
                <c:formatCode>General</c:formatCode>
                <c:ptCount val="10"/>
                <c:pt idx="0">
                  <c:v>840</c:v>
                </c:pt>
                <c:pt idx="1">
                  <c:v>940</c:v>
                </c:pt>
                <c:pt idx="2">
                  <c:v>780</c:v>
                </c:pt>
                <c:pt idx="3">
                  <c:v>650</c:v>
                </c:pt>
                <c:pt idx="4">
                  <c:v>720</c:v>
                </c:pt>
                <c:pt idx="5">
                  <c:v>430</c:v>
                </c:pt>
                <c:pt idx="6">
                  <c:v>1850</c:v>
                </c:pt>
                <c:pt idx="7">
                  <c:v>300</c:v>
                </c:pt>
                <c:pt idx="8">
                  <c:v>360</c:v>
                </c:pt>
                <c:pt idx="9">
                  <c:v>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A5-4FAA-B51B-FCEE554E47E9}"/>
            </c:ext>
          </c:extLst>
        </c:ser>
        <c:ser>
          <c:idx val="3"/>
          <c:order val="3"/>
          <c:tx>
            <c:strRef>
              <c:f>Sheet1!$C$24</c:f>
              <c:strCache>
                <c:ptCount val="1"/>
                <c:pt idx="0">
                  <c:v>Brand 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Sheet1!$F$25:$F$34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xVal>
          <c:yVal>
            <c:numRef>
              <c:f>Sheet1!$C$25:$C$34</c:f>
              <c:numCache>
                <c:formatCode>General</c:formatCode>
                <c:ptCount val="10"/>
                <c:pt idx="0">
                  <c:v>1430</c:v>
                </c:pt>
                <c:pt idx="1">
                  <c:v>1750</c:v>
                </c:pt>
                <c:pt idx="2">
                  <c:v>870</c:v>
                </c:pt>
                <c:pt idx="3">
                  <c:v>920</c:v>
                </c:pt>
                <c:pt idx="4">
                  <c:v>1300</c:v>
                </c:pt>
                <c:pt idx="5">
                  <c:v>890</c:v>
                </c:pt>
                <c:pt idx="6">
                  <c:v>740</c:v>
                </c:pt>
                <c:pt idx="7">
                  <c:v>720</c:v>
                </c:pt>
                <c:pt idx="8">
                  <c:v>430</c:v>
                </c:pt>
                <c:pt idx="9">
                  <c:v>1050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A5-4FAA-B51B-FCEE554E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78208"/>
        <c:axId val="83178688"/>
      </c:scatterChart>
      <c:catAx>
        <c:axId val="831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8688"/>
        <c:crosses val="autoZero"/>
        <c:auto val="1"/>
        <c:lblAlgn val="ctr"/>
        <c:lblOffset val="100"/>
        <c:noMultiLvlLbl val="0"/>
      </c:catAx>
      <c:valAx>
        <c:axId val="831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692038495188118E-2"/>
          <c:y val="0.19486111111111112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Sheet1!$E$70</c:f>
              <c:strCache>
                <c:ptCount val="1"/>
                <c:pt idx="0">
                  <c:v>Y(calculated)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2383858267716535E-2"/>
                  <c:y val="3.31521580635753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Sheet1!$D$71:$D$75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Sheet1!$E$71:$E$75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F-4EAC-993A-20B7516BF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5024"/>
        <c:axId val="4167424"/>
      </c:scatterChart>
      <c:valAx>
        <c:axId val="41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7424"/>
        <c:crosses val="autoZero"/>
        <c:crossBetween val="midCat"/>
      </c:valAx>
      <c:valAx>
        <c:axId val="41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FBC389B-E4F2-4327-9CAD-49AD4A552722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</cx:chartData>
  <cx:chart>
    <cx:title pos="t" align="ctr" overlay="0"/>
    <cx:plotArea>
      <cx:plotAreaRegion>
        <cx:series layoutId="boxWhisker" uniqueId="{6240B0F3-25C9-4332-9BA8-C2ED555D8AD6}">
          <cx:tx>
            <cx:txData>
              <cx:f>_xlchart.v1.1</cx:f>
              <cx:v>Brand 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54DDC4E-8F1C-4BA5-9EC2-E090348E5A4A}">
          <cx:tx>
            <cx:txData>
              <cx:f>_xlchart.v1.3</cx:f>
              <cx:v>Brand 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6EAD64B-083A-4F8F-BBB4-7C5B02BABEDE}">
          <cx:tx>
            <cx:txData>
              <cx:f>_xlchart.v1.5</cx:f>
              <cx:v>Brand 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464820</xdr:colOff>
      <xdr:row>2</xdr:row>
      <xdr:rowOff>156210</xdr:rowOff>
    </xdr:from>
    <xdr:to>
      <xdr:col>17</xdr:col>
      <xdr:colOff>160020</xdr:colOff>
      <xdr:row>16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49738C4-1BEB-E124-8EF7-F4A73783E8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3260" y="6743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472440</xdr:colOff>
      <xdr:row>22</xdr:row>
      <xdr:rowOff>11430</xdr:rowOff>
    </xdr:from>
    <xdr:to>
      <xdr:col>14</xdr:col>
      <xdr:colOff>167640</xdr:colOff>
      <xdr:row>36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95B6A3-3B33-8A8D-5B70-C3B98EC72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480060</xdr:colOff>
      <xdr:row>22</xdr:row>
      <xdr:rowOff>11430</xdr:rowOff>
    </xdr:from>
    <xdr:to>
      <xdr:col>22</xdr:col>
      <xdr:colOff>175260</xdr:colOff>
      <xdr:row>36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5D0FB87-15F9-1738-A5A1-35982A11CF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6900" y="4042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411480</xdr:colOff>
      <xdr:row>66</xdr:row>
      <xdr:rowOff>19050</xdr:rowOff>
    </xdr:from>
    <xdr:to>
      <xdr:col>15</xdr:col>
      <xdr:colOff>106680</xdr:colOff>
      <xdr:row>81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78BBE4-4A01-9093-C1A8-EE62BAFB2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1297-A6DC-4FEE-957B-DFC81DC013B8}">
  <dimension ref="A1:AC85"/>
  <sheetViews>
    <sheetView tabSelected="1" topLeftCell="D23" workbookViewId="0">
      <selection activeCell="E43" sqref="E43"/>
    </sheetView>
  </sheetViews>
  <sheetFormatPr defaultRowHeight="14.4" x14ac:dyDescent="0.3"/>
  <cols>
    <col min="1" max="1" width="12.88671875" customWidth="1"/>
    <col min="2" max="2" width="11.77734375" customWidth="1"/>
    <col min="4" max="4" width="10.44140625" customWidth="1"/>
    <col min="7" max="7" width="11" customWidth="1"/>
  </cols>
  <sheetData>
    <row r="1" spans="1:29" x14ac:dyDescent="0.3">
      <c r="A1" s="1" t="s">
        <v>0</v>
      </c>
      <c r="B1" s="2" t="s">
        <v>1</v>
      </c>
      <c r="C1" t="s">
        <v>21</v>
      </c>
      <c r="D1" t="s">
        <v>22</v>
      </c>
    </row>
    <row r="2" spans="1:29" x14ac:dyDescent="0.3">
      <c r="A2" s="3" t="s">
        <v>2</v>
      </c>
      <c r="B2" s="4">
        <v>98</v>
      </c>
      <c r="C2">
        <f>B2-$B$22</f>
        <v>5.0499999999999972</v>
      </c>
      <c r="D2">
        <f>C2*C2</f>
        <v>25.502499999999973</v>
      </c>
      <c r="F2" t="s">
        <v>23</v>
      </c>
      <c r="G2">
        <f>AVERAGE(D2:D21)</f>
        <v>43.347500000000011</v>
      </c>
    </row>
    <row r="3" spans="1:29" x14ac:dyDescent="0.3">
      <c r="A3" s="3" t="s">
        <v>3</v>
      </c>
      <c r="B3" s="4">
        <v>88</v>
      </c>
      <c r="C3">
        <f t="shared" ref="C3:C21" si="0">B3-$B$22</f>
        <v>-4.9500000000000028</v>
      </c>
      <c r="D3">
        <f t="shared" ref="D3:D21" si="1">C3*C3</f>
        <v>24.50250000000003</v>
      </c>
      <c r="F3" t="s">
        <v>24</v>
      </c>
      <c r="G3">
        <f>_xlfn.VAR.S(B2:B21)</f>
        <v>45.628947368421059</v>
      </c>
      <c r="T3" t="s">
        <v>60</v>
      </c>
      <c r="U3" s="17" t="s">
        <v>61</v>
      </c>
      <c r="V3" s="18" t="s">
        <v>62</v>
      </c>
      <c r="W3" t="s">
        <v>67</v>
      </c>
      <c r="X3" t="s">
        <v>68</v>
      </c>
      <c r="Y3" t="s">
        <v>69</v>
      </c>
    </row>
    <row r="4" spans="1:29" x14ac:dyDescent="0.3">
      <c r="A4" s="3" t="s">
        <v>4</v>
      </c>
      <c r="B4" s="4">
        <v>98</v>
      </c>
      <c r="C4">
        <f t="shared" si="0"/>
        <v>5.0499999999999972</v>
      </c>
      <c r="D4">
        <f t="shared" si="1"/>
        <v>25.502499999999973</v>
      </c>
      <c r="T4">
        <v>1</v>
      </c>
      <c r="U4" s="17">
        <v>8</v>
      </c>
      <c r="V4" s="18">
        <v>4</v>
      </c>
      <c r="W4">
        <f>STANDARDIZE(U4,$V$15,$V$16)</f>
        <v>0.59059616300073947</v>
      </c>
      <c r="X4">
        <f>STANDARDIZE(V4,$X$15,$X$16)</f>
        <v>-0.68293247186936668</v>
      </c>
      <c r="Y4">
        <f>W4*X4</f>
        <v>-0.40333729747465841</v>
      </c>
    </row>
    <row r="5" spans="1:29" x14ac:dyDescent="0.3">
      <c r="A5" s="3" t="s">
        <v>5</v>
      </c>
      <c r="B5" s="4">
        <v>92</v>
      </c>
      <c r="C5">
        <f t="shared" si="0"/>
        <v>-0.95000000000000284</v>
      </c>
      <c r="D5">
        <f t="shared" si="1"/>
        <v>0.90250000000000541</v>
      </c>
      <c r="T5">
        <v>2</v>
      </c>
      <c r="U5" s="17">
        <v>3</v>
      </c>
      <c r="V5" s="18">
        <v>12</v>
      </c>
      <c r="W5">
        <f t="shared" ref="W5:W13" si="2">STANDARDIZE(U5,$V$15,$V$16)</f>
        <v>-1.049948734223537</v>
      </c>
      <c r="X5">
        <f t="shared" ref="X5:X13" si="3">STANDARDIZE(V5,$X$15,$X$16)</f>
        <v>1.02439870780405</v>
      </c>
      <c r="Y5">
        <f t="shared" ref="Y5:Y13" si="4">W5*X5</f>
        <v>-1.0755661265990892</v>
      </c>
    </row>
    <row r="6" spans="1:29" x14ac:dyDescent="0.3">
      <c r="A6" s="3" t="s">
        <v>6</v>
      </c>
      <c r="B6" s="4">
        <v>98</v>
      </c>
      <c r="C6">
        <f t="shared" si="0"/>
        <v>5.0499999999999972</v>
      </c>
      <c r="D6">
        <f t="shared" si="1"/>
        <v>25.502499999999973</v>
      </c>
      <c r="T6">
        <v>3</v>
      </c>
      <c r="U6" s="17">
        <v>2</v>
      </c>
      <c r="V6" s="18">
        <v>1</v>
      </c>
      <c r="W6">
        <f t="shared" si="2"/>
        <v>-1.3780577136683922</v>
      </c>
      <c r="X6">
        <f t="shared" si="3"/>
        <v>-1.3231816642468979</v>
      </c>
      <c r="Y6">
        <f t="shared" si="4"/>
        <v>1.8234206990000184</v>
      </c>
    </row>
    <row r="7" spans="1:29" x14ac:dyDescent="0.3">
      <c r="A7" s="5" t="s">
        <v>7</v>
      </c>
      <c r="B7" s="4">
        <v>70</v>
      </c>
      <c r="C7">
        <f t="shared" si="0"/>
        <v>-22.950000000000003</v>
      </c>
      <c r="D7">
        <f t="shared" si="1"/>
        <v>526.7025000000001</v>
      </c>
      <c r="T7">
        <v>4</v>
      </c>
      <c r="U7" s="17">
        <v>10</v>
      </c>
      <c r="V7" s="18">
        <v>12</v>
      </c>
      <c r="W7">
        <f t="shared" si="2"/>
        <v>1.24681412189045</v>
      </c>
      <c r="X7">
        <f t="shared" si="3"/>
        <v>1.02439870780405</v>
      </c>
      <c r="Y7">
        <f t="shared" si="4"/>
        <v>1.2772347753364182</v>
      </c>
    </row>
    <row r="8" spans="1:29" x14ac:dyDescent="0.3">
      <c r="A8" s="5" t="s">
        <v>8</v>
      </c>
      <c r="B8" s="4">
        <v>98</v>
      </c>
      <c r="C8">
        <f t="shared" si="0"/>
        <v>5.0499999999999972</v>
      </c>
      <c r="D8">
        <f t="shared" si="1"/>
        <v>25.502499999999973</v>
      </c>
      <c r="T8">
        <v>5</v>
      </c>
      <c r="U8" s="17">
        <v>11</v>
      </c>
      <c r="V8" s="18">
        <v>9</v>
      </c>
      <c r="W8">
        <f t="shared" si="2"/>
        <v>1.5749231013353051</v>
      </c>
      <c r="X8">
        <f t="shared" si="3"/>
        <v>0.38414951542651871</v>
      </c>
      <c r="Y8">
        <f t="shared" si="4"/>
        <v>0.60500594621198744</v>
      </c>
    </row>
    <row r="9" spans="1:29" x14ac:dyDescent="0.3">
      <c r="A9" s="5" t="s">
        <v>9</v>
      </c>
      <c r="B9" s="4">
        <v>96</v>
      </c>
      <c r="C9">
        <f t="shared" si="0"/>
        <v>3.0499999999999972</v>
      </c>
      <c r="D9">
        <f t="shared" si="1"/>
        <v>9.3024999999999824</v>
      </c>
      <c r="T9">
        <v>6</v>
      </c>
      <c r="U9" s="17">
        <v>3</v>
      </c>
      <c r="V9" s="18">
        <v>4</v>
      </c>
      <c r="W9">
        <f t="shared" si="2"/>
        <v>-1.049948734223537</v>
      </c>
      <c r="X9">
        <f t="shared" si="3"/>
        <v>-0.68293247186936668</v>
      </c>
      <c r="Y9">
        <f t="shared" si="4"/>
        <v>0.71704408439939282</v>
      </c>
    </row>
    <row r="10" spans="1:29" x14ac:dyDescent="0.3">
      <c r="A10" s="5" t="s">
        <v>10</v>
      </c>
      <c r="B10" s="4">
        <v>97</v>
      </c>
      <c r="C10">
        <f t="shared" si="0"/>
        <v>4.0499999999999972</v>
      </c>
      <c r="D10">
        <f t="shared" si="1"/>
        <v>16.402499999999979</v>
      </c>
      <c r="T10">
        <v>7</v>
      </c>
      <c r="U10" s="17">
        <v>6</v>
      </c>
      <c r="V10" s="18">
        <v>9</v>
      </c>
      <c r="W10">
        <f t="shared" si="2"/>
        <v>-6.5621795888971116E-2</v>
      </c>
      <c r="X10">
        <f t="shared" si="3"/>
        <v>0.38414951542651871</v>
      </c>
      <c r="Y10">
        <f t="shared" si="4"/>
        <v>-2.5208581092166171E-2</v>
      </c>
    </row>
    <row r="11" spans="1:29" x14ac:dyDescent="0.3">
      <c r="A11" s="5" t="s">
        <v>11</v>
      </c>
      <c r="B11" s="4">
        <v>97</v>
      </c>
      <c r="C11">
        <f t="shared" si="0"/>
        <v>4.0499999999999972</v>
      </c>
      <c r="D11">
        <f t="shared" si="1"/>
        <v>16.402499999999979</v>
      </c>
      <c r="T11">
        <v>8</v>
      </c>
      <c r="U11" s="17">
        <v>5</v>
      </c>
      <c r="V11" s="18">
        <v>6</v>
      </c>
      <c r="W11">
        <f t="shared" si="2"/>
        <v>-0.39373077533382639</v>
      </c>
      <c r="X11">
        <f t="shared" si="3"/>
        <v>-0.25609967695101254</v>
      </c>
      <c r="Y11">
        <f t="shared" si="4"/>
        <v>0.10083432436866463</v>
      </c>
    </row>
    <row r="12" spans="1:29" x14ac:dyDescent="0.3">
      <c r="A12" s="6" t="s">
        <v>12</v>
      </c>
      <c r="B12" s="4">
        <v>97</v>
      </c>
      <c r="C12">
        <f t="shared" si="0"/>
        <v>4.0499999999999972</v>
      </c>
      <c r="D12">
        <f t="shared" si="1"/>
        <v>16.402499999999979</v>
      </c>
      <c r="F12" t="s">
        <v>25</v>
      </c>
      <c r="G12" t="s">
        <v>26</v>
      </c>
      <c r="T12">
        <v>9</v>
      </c>
      <c r="U12" s="17">
        <v>6</v>
      </c>
      <c r="V12" s="18">
        <v>1</v>
      </c>
      <c r="W12">
        <f t="shared" si="2"/>
        <v>-6.5621795888971116E-2</v>
      </c>
      <c r="X12">
        <f t="shared" si="3"/>
        <v>-1.3231816642468979</v>
      </c>
      <c r="Y12">
        <f t="shared" si="4"/>
        <v>8.6829557095239041E-2</v>
      </c>
    </row>
    <row r="13" spans="1:29" x14ac:dyDescent="0.3">
      <c r="A13" s="6" t="s">
        <v>13</v>
      </c>
      <c r="B13" s="4">
        <v>95</v>
      </c>
      <c r="C13">
        <f t="shared" si="0"/>
        <v>2.0499999999999972</v>
      </c>
      <c r="D13">
        <f t="shared" si="1"/>
        <v>4.2024999999999881</v>
      </c>
      <c r="F13">
        <v>70</v>
      </c>
      <c r="G13" cm="1">
        <f t="array" ref="G13:G20">FREQUENCY(B2:B21,F13:F19)</f>
        <v>1</v>
      </c>
      <c r="T13">
        <v>10</v>
      </c>
      <c r="U13" s="17">
        <v>8</v>
      </c>
      <c r="V13" s="18">
        <v>14</v>
      </c>
      <c r="W13">
        <f t="shared" si="2"/>
        <v>0.59059616300073947</v>
      </c>
      <c r="X13">
        <f t="shared" si="3"/>
        <v>1.4512315027224041</v>
      </c>
      <c r="Y13">
        <f t="shared" si="4"/>
        <v>0.85709175713364905</v>
      </c>
    </row>
    <row r="14" spans="1:29" x14ac:dyDescent="0.3">
      <c r="A14" s="6" t="s">
        <v>14</v>
      </c>
      <c r="B14" s="4">
        <v>95</v>
      </c>
      <c r="C14">
        <f t="shared" si="0"/>
        <v>2.0499999999999972</v>
      </c>
      <c r="D14">
        <f t="shared" si="1"/>
        <v>4.2024999999999881</v>
      </c>
      <c r="F14">
        <v>75</v>
      </c>
      <c r="G14">
        <v>0</v>
      </c>
      <c r="Y14">
        <f>SUM(Y4:Y13)</f>
        <v>3.9633491383794559</v>
      </c>
    </row>
    <row r="15" spans="1:29" x14ac:dyDescent="0.3">
      <c r="A15" s="6" t="s">
        <v>14</v>
      </c>
      <c r="B15" s="4">
        <v>94</v>
      </c>
      <c r="C15">
        <f t="shared" si="0"/>
        <v>1.0499999999999972</v>
      </c>
      <c r="D15">
        <f t="shared" si="1"/>
        <v>1.102499999999994</v>
      </c>
      <c r="F15">
        <v>80</v>
      </c>
      <c r="G15">
        <v>0</v>
      </c>
      <c r="U15" t="s">
        <v>63</v>
      </c>
      <c r="V15">
        <f>AVERAGE(U4:U13)</f>
        <v>6.2</v>
      </c>
      <c r="W15" t="s">
        <v>65</v>
      </c>
      <c r="X15">
        <f>AVERAGE(V4:V13)</f>
        <v>7.2</v>
      </c>
      <c r="AA15" t="s">
        <v>70</v>
      </c>
      <c r="AC15">
        <f>Y14/(T13-1)</f>
        <v>0.44037212648660623</v>
      </c>
    </row>
    <row r="16" spans="1:29" x14ac:dyDescent="0.3">
      <c r="A16" s="6" t="s">
        <v>15</v>
      </c>
      <c r="B16" s="4">
        <v>93</v>
      </c>
      <c r="C16">
        <f t="shared" si="0"/>
        <v>4.9999999999997158E-2</v>
      </c>
      <c r="D16">
        <f t="shared" si="1"/>
        <v>2.499999999999716E-3</v>
      </c>
      <c r="F16">
        <v>85</v>
      </c>
      <c r="G16">
        <v>0</v>
      </c>
      <c r="U16" t="s">
        <v>64</v>
      </c>
      <c r="V16">
        <f>STDEV(U4:U13)</f>
        <v>3.0477678535099901</v>
      </c>
      <c r="W16" t="s">
        <v>66</v>
      </c>
      <c r="X16">
        <f>STDEV(V4:V13)</f>
        <v>4.6856755708814877</v>
      </c>
      <c r="AA16" t="s">
        <v>71</v>
      </c>
      <c r="AC16">
        <f>CORREL(U4:U13,V4:V13)</f>
        <v>0.4403721264866064</v>
      </c>
    </row>
    <row r="17" spans="1:7" x14ac:dyDescent="0.3">
      <c r="A17" s="7" t="s">
        <v>16</v>
      </c>
      <c r="B17" s="4">
        <v>88</v>
      </c>
      <c r="C17">
        <f t="shared" si="0"/>
        <v>-4.9500000000000028</v>
      </c>
      <c r="D17">
        <f t="shared" si="1"/>
        <v>24.50250000000003</v>
      </c>
      <c r="F17">
        <v>90</v>
      </c>
      <c r="G17">
        <v>4</v>
      </c>
    </row>
    <row r="18" spans="1:7" x14ac:dyDescent="0.3">
      <c r="A18" s="7" t="s">
        <v>17</v>
      </c>
      <c r="B18" s="4">
        <v>87</v>
      </c>
      <c r="C18">
        <f t="shared" si="0"/>
        <v>-5.9500000000000028</v>
      </c>
      <c r="D18">
        <f t="shared" si="1"/>
        <v>35.402500000000032</v>
      </c>
      <c r="F18">
        <v>95</v>
      </c>
      <c r="G18">
        <v>6</v>
      </c>
    </row>
    <row r="19" spans="1:7" x14ac:dyDescent="0.3">
      <c r="A19" s="7" t="s">
        <v>18</v>
      </c>
      <c r="B19" s="4">
        <v>86</v>
      </c>
      <c r="C19">
        <f t="shared" si="0"/>
        <v>-6.9500000000000028</v>
      </c>
      <c r="D19">
        <f t="shared" si="1"/>
        <v>48.302500000000038</v>
      </c>
      <c r="F19">
        <v>100</v>
      </c>
      <c r="G19">
        <v>9</v>
      </c>
    </row>
    <row r="20" spans="1:7" x14ac:dyDescent="0.3">
      <c r="A20" s="7" t="s">
        <v>19</v>
      </c>
      <c r="B20" s="4">
        <v>93</v>
      </c>
      <c r="C20">
        <f t="shared" si="0"/>
        <v>4.9999999999997158E-2</v>
      </c>
      <c r="D20">
        <f t="shared" si="1"/>
        <v>2.499999999999716E-3</v>
      </c>
      <c r="G20">
        <v>0</v>
      </c>
    </row>
    <row r="21" spans="1:7" ht="15" thickBot="1" x14ac:dyDescent="0.35">
      <c r="A21" s="8" t="s">
        <v>20</v>
      </c>
      <c r="B21" s="9">
        <v>99</v>
      </c>
      <c r="C21">
        <f t="shared" si="0"/>
        <v>6.0499999999999972</v>
      </c>
      <c r="D21">
        <f t="shared" si="1"/>
        <v>36.602499999999964</v>
      </c>
    </row>
    <row r="22" spans="1:7" x14ac:dyDescent="0.3">
      <c r="B22">
        <f>AVERAGE(B2:B21)</f>
        <v>92.95</v>
      </c>
      <c r="D22">
        <f>SUM(D2:D21)</f>
        <v>866.95000000000016</v>
      </c>
    </row>
    <row r="23" spans="1:7" ht="15" thickBot="1" x14ac:dyDescent="0.35"/>
    <row r="24" spans="1:7" x14ac:dyDescent="0.3">
      <c r="A24" s="10" t="s">
        <v>27</v>
      </c>
      <c r="B24" s="11" t="s">
        <v>28</v>
      </c>
      <c r="C24" s="2" t="s">
        <v>29</v>
      </c>
    </row>
    <row r="25" spans="1:7" x14ac:dyDescent="0.3">
      <c r="A25" s="12">
        <v>1020</v>
      </c>
      <c r="B25" s="13">
        <v>840</v>
      </c>
      <c r="C25" s="4">
        <v>1430</v>
      </c>
      <c r="D25" s="16">
        <v>1</v>
      </c>
      <c r="E25" s="16">
        <v>2</v>
      </c>
      <c r="F25" s="16">
        <v>3</v>
      </c>
    </row>
    <row r="26" spans="1:7" x14ac:dyDescent="0.3">
      <c r="A26" s="12">
        <v>1560</v>
      </c>
      <c r="B26" s="13">
        <v>940</v>
      </c>
      <c r="C26" s="4">
        <v>1750</v>
      </c>
      <c r="D26" s="16">
        <v>1</v>
      </c>
      <c r="E26" s="16">
        <v>2</v>
      </c>
      <c r="F26" s="16">
        <v>3</v>
      </c>
    </row>
    <row r="27" spans="1:7" x14ac:dyDescent="0.3">
      <c r="A27" s="12">
        <v>560</v>
      </c>
      <c r="B27" s="13">
        <v>780</v>
      </c>
      <c r="C27" s="4">
        <v>870</v>
      </c>
      <c r="D27" s="16">
        <v>1</v>
      </c>
      <c r="E27" s="16">
        <v>2</v>
      </c>
      <c r="F27" s="16">
        <v>3</v>
      </c>
    </row>
    <row r="28" spans="1:7" x14ac:dyDescent="0.3">
      <c r="A28" s="12">
        <v>780</v>
      </c>
      <c r="B28" s="13">
        <v>650</v>
      </c>
      <c r="C28" s="4">
        <v>920</v>
      </c>
      <c r="D28" s="16">
        <v>1</v>
      </c>
      <c r="E28" s="16">
        <v>2</v>
      </c>
      <c r="F28" s="16">
        <v>3</v>
      </c>
    </row>
    <row r="29" spans="1:7" x14ac:dyDescent="0.3">
      <c r="A29" s="12">
        <v>990</v>
      </c>
      <c r="B29" s="13">
        <v>720</v>
      </c>
      <c r="C29" s="4">
        <v>1300</v>
      </c>
      <c r="D29" s="16">
        <v>1</v>
      </c>
      <c r="E29" s="16">
        <v>2</v>
      </c>
      <c r="F29" s="16">
        <v>3</v>
      </c>
    </row>
    <row r="30" spans="1:7" x14ac:dyDescent="0.3">
      <c r="A30" s="12">
        <v>670</v>
      </c>
      <c r="B30" s="13">
        <v>430</v>
      </c>
      <c r="C30" s="4">
        <v>890</v>
      </c>
      <c r="D30" s="16">
        <v>1</v>
      </c>
      <c r="E30" s="16">
        <v>2</v>
      </c>
      <c r="F30" s="16">
        <v>3</v>
      </c>
    </row>
    <row r="31" spans="1:7" x14ac:dyDescent="0.3">
      <c r="A31" s="12">
        <v>510</v>
      </c>
      <c r="B31" s="13">
        <v>1850</v>
      </c>
      <c r="C31" s="4">
        <v>740</v>
      </c>
      <c r="D31" s="16">
        <v>1</v>
      </c>
      <c r="E31" s="16">
        <v>2</v>
      </c>
      <c r="F31" s="16">
        <v>3</v>
      </c>
    </row>
    <row r="32" spans="1:7" x14ac:dyDescent="0.3">
      <c r="A32" s="12">
        <v>490</v>
      </c>
      <c r="B32" s="13">
        <v>300</v>
      </c>
      <c r="C32" s="4">
        <v>720</v>
      </c>
      <c r="D32" s="16">
        <v>1</v>
      </c>
      <c r="E32" s="16">
        <v>2</v>
      </c>
      <c r="F32" s="16">
        <v>3</v>
      </c>
    </row>
    <row r="33" spans="1:12" x14ac:dyDescent="0.3">
      <c r="A33" s="12">
        <v>380</v>
      </c>
      <c r="B33" s="13">
        <v>360</v>
      </c>
      <c r="C33" s="4">
        <v>430</v>
      </c>
      <c r="D33" s="16">
        <v>1</v>
      </c>
      <c r="E33" s="16">
        <v>2</v>
      </c>
      <c r="F33" s="16">
        <v>3</v>
      </c>
    </row>
    <row r="34" spans="1:12" ht="15" thickBot="1" x14ac:dyDescent="0.35">
      <c r="A34" s="14">
        <v>880</v>
      </c>
      <c r="B34" s="15">
        <v>690</v>
      </c>
      <c r="C34" s="9">
        <v>1050</v>
      </c>
      <c r="D34" s="16">
        <v>1</v>
      </c>
      <c r="E34" s="16">
        <v>2</v>
      </c>
      <c r="F34" s="16">
        <v>3</v>
      </c>
    </row>
    <row r="38" spans="1:12" x14ac:dyDescent="0.3">
      <c r="A38" t="s">
        <v>30</v>
      </c>
    </row>
    <row r="39" spans="1:12" x14ac:dyDescent="0.3">
      <c r="A39">
        <v>12</v>
      </c>
      <c r="D39" t="s">
        <v>33</v>
      </c>
    </row>
    <row r="40" spans="1:12" x14ac:dyDescent="0.3">
      <c r="A40">
        <v>12</v>
      </c>
      <c r="D40" t="s">
        <v>34</v>
      </c>
      <c r="G40" s="13" t="s">
        <v>35</v>
      </c>
      <c r="H40" s="13" t="s">
        <v>36</v>
      </c>
      <c r="I40" s="13"/>
      <c r="J40" s="13"/>
      <c r="K40" s="13"/>
      <c r="L40" s="13"/>
    </row>
    <row r="41" spans="1:12" x14ac:dyDescent="0.3">
      <c r="A41">
        <v>13</v>
      </c>
      <c r="G41" s="13" t="s">
        <v>37</v>
      </c>
      <c r="H41" s="13" t="s">
        <v>38</v>
      </c>
      <c r="I41" s="13" t="s">
        <v>39</v>
      </c>
      <c r="J41" s="13" t="s">
        <v>46</v>
      </c>
      <c r="K41" s="13" t="s">
        <v>47</v>
      </c>
      <c r="L41" s="13" t="s">
        <v>48</v>
      </c>
    </row>
    <row r="42" spans="1:12" x14ac:dyDescent="0.3">
      <c r="A42">
        <v>23</v>
      </c>
      <c r="D42" t="s">
        <v>31</v>
      </c>
      <c r="E42" t="s">
        <v>32</v>
      </c>
      <c r="G42" s="13">
        <v>0</v>
      </c>
      <c r="H42" s="13">
        <v>5</v>
      </c>
      <c r="I42" s="13">
        <f>G42*H42</f>
        <v>0</v>
      </c>
      <c r="J42" s="13">
        <f>_xlfn.BINOM.DIST(G42,$I$52,$I$53,FALSE)</f>
        <v>1.6576499081093776E-2</v>
      </c>
      <c r="K42" s="13">
        <f>$H$49*J42</f>
        <v>1.6742264071904713</v>
      </c>
      <c r="L42" s="13">
        <v>2</v>
      </c>
    </row>
    <row r="43" spans="1:12" x14ac:dyDescent="0.3">
      <c r="A43">
        <v>35</v>
      </c>
      <c r="D43">
        <v>1</v>
      </c>
      <c r="E43" t="str">
        <f>REPT("0",COUNTIF($A$39:$A$53,D43*10+0))&amp;REPT("1",COUNTIF($A$39:$A$53,D43*10+1))&amp;REPT("2",COUNTIF($A$39:$A$53,D43*10+2))&amp;REPT("3",COUNTIF($A$39:$A$53,D43*10+3))&amp;REPT("4",COUNTIF($A$39:$A$53,D43*10+4))&amp;REPT("5",COUNTIF($A$39:$A$53,D43*10+5))&amp;REPT("6",COUNTIF($A$39:$A$53,D43*10+6))&amp;REPT("7",COUNTIF($A$39:$A$53,D43*10+7))&amp;REPT("8",COUNTIF($A$39:$A$53,D43*10+8))&amp;REPT("9",COUNTIF($A$39:$A$53,D43*10+9))</f>
        <v>223348</v>
      </c>
      <c r="G43" s="13">
        <v>1</v>
      </c>
      <c r="H43" s="13">
        <v>12</v>
      </c>
      <c r="I43" s="13">
        <f t="shared" ref="I43:I48" si="5">G43*H43</f>
        <v>12</v>
      </c>
      <c r="J43" s="13">
        <f>_xlfn.BINOM.DIST(G43,$I$52,$I$53,FALSE)</f>
        <v>9.7508818124081076E-2</v>
      </c>
      <c r="K43" s="13">
        <f t="shared" ref="K43:K48" si="6">$H$49*J43</f>
        <v>9.8483906305321884</v>
      </c>
      <c r="L43" s="13">
        <v>10</v>
      </c>
    </row>
    <row r="44" spans="1:12" x14ac:dyDescent="0.3">
      <c r="A44">
        <v>43</v>
      </c>
      <c r="D44">
        <v>2</v>
      </c>
      <c r="E44" t="str">
        <f t="shared" ref="E44:E46" si="7">REPT("0",COUNTIF($A$39:$A$53,D44*10+0))&amp;REPT("1",COUNTIF($A$39:$A$53,D44*10+1))&amp;REPT("2",COUNTIF($A$39:$A$53,D44*10+2))&amp;REPT("3",COUNTIF($A$39:$A$53,D44*10+3))&amp;REPT("4",COUNTIF($A$39:$A$53,D44*10+4))&amp;REPT("5",COUNTIF($A$39:$A$53,D44*10+5))&amp;REPT("6",COUNTIF($A$39:$A$53,D44*10+6))&amp;REPT("7",COUNTIF($A$39:$A$53,D44*10+7))&amp;REPT("8",COUNTIF($A$39:$A$53,D44*10+8))&amp;REPT("9",COUNTIF($A$39:$A$53,D44*10+9))</f>
        <v>33</v>
      </c>
      <c r="G44" s="13">
        <v>2</v>
      </c>
      <c r="H44" s="13">
        <v>19</v>
      </c>
      <c r="I44" s="13">
        <f t="shared" si="5"/>
        <v>38</v>
      </c>
      <c r="J44" s="13">
        <f>_xlfn.BINOM.DIST(G44,$I$52,$I$53,FALSE)</f>
        <v>0.23899220128451235</v>
      </c>
      <c r="K44" s="13">
        <f t="shared" si="6"/>
        <v>24.138212329735747</v>
      </c>
      <c r="L44" s="13">
        <v>24</v>
      </c>
    </row>
    <row r="45" spans="1:12" x14ac:dyDescent="0.3">
      <c r="A45">
        <v>32</v>
      </c>
      <c r="D45">
        <v>3</v>
      </c>
      <c r="E45" t="str">
        <f t="shared" si="7"/>
        <v>235</v>
      </c>
      <c r="G45" s="13">
        <v>3</v>
      </c>
      <c r="H45" s="13">
        <v>28</v>
      </c>
      <c r="I45" s="13">
        <f t="shared" si="5"/>
        <v>84</v>
      </c>
      <c r="J45" s="13">
        <f>_xlfn.BINOM.DIST(G45,$I$52,$I$53,FALSE)</f>
        <v>0.31240810625426441</v>
      </c>
      <c r="K45" s="13">
        <f t="shared" si="6"/>
        <v>31.553218731680705</v>
      </c>
      <c r="L45" s="13">
        <v>32</v>
      </c>
    </row>
    <row r="46" spans="1:12" x14ac:dyDescent="0.3">
      <c r="A46">
        <v>33</v>
      </c>
      <c r="D46">
        <v>4</v>
      </c>
      <c r="E46" t="str">
        <f t="shared" si="7"/>
        <v>3579</v>
      </c>
      <c r="G46" s="13">
        <v>4</v>
      </c>
      <c r="H46" s="13">
        <v>21</v>
      </c>
      <c r="I46" s="13">
        <f t="shared" si="5"/>
        <v>84</v>
      </c>
      <c r="J46" s="13">
        <f>_xlfn.BINOM.DIST(G46,$I$52,$I$53,FALSE)</f>
        <v>0.22971184283401802</v>
      </c>
      <c r="K46" s="13">
        <f t="shared" si="6"/>
        <v>23.200896126235818</v>
      </c>
      <c r="L46" s="13">
        <v>23</v>
      </c>
    </row>
    <row r="47" spans="1:12" x14ac:dyDescent="0.3">
      <c r="A47">
        <v>23</v>
      </c>
      <c r="G47" s="13">
        <v>5</v>
      </c>
      <c r="H47" s="13">
        <v>14</v>
      </c>
      <c r="I47" s="13">
        <f t="shared" si="5"/>
        <v>70</v>
      </c>
      <c r="J47" s="13">
        <f>_xlfn.BINOM.DIST(G47,$I$52,$I$53,FALSE)</f>
        <v>9.0083075621183534E-2</v>
      </c>
      <c r="K47" s="13">
        <f t="shared" si="6"/>
        <v>9.098390637739536</v>
      </c>
      <c r="L47" s="13">
        <v>9</v>
      </c>
    </row>
    <row r="48" spans="1:12" x14ac:dyDescent="0.3">
      <c r="A48">
        <v>13</v>
      </c>
      <c r="G48" s="13">
        <v>6</v>
      </c>
      <c r="H48" s="13">
        <v>2</v>
      </c>
      <c r="I48" s="13">
        <f t="shared" si="5"/>
        <v>12</v>
      </c>
      <c r="J48" s="13">
        <f>_xlfn.BINOM.DIST(G48,$I$52,$I$53,FALSE)</f>
        <v>1.4719456800846978E-2</v>
      </c>
      <c r="K48" s="13">
        <f t="shared" si="6"/>
        <v>1.4866651368855448</v>
      </c>
      <c r="L48" s="13">
        <v>1</v>
      </c>
    </row>
    <row r="49" spans="1:13" x14ac:dyDescent="0.3">
      <c r="A49">
        <v>14</v>
      </c>
      <c r="H49">
        <f>SUM(H42:H48)</f>
        <v>101</v>
      </c>
      <c r="I49">
        <f>SUM(I42:I48)</f>
        <v>300</v>
      </c>
      <c r="L49">
        <f>SUM(L42:L48)</f>
        <v>101</v>
      </c>
    </row>
    <row r="50" spans="1:13" x14ac:dyDescent="0.3">
      <c r="A50">
        <v>18</v>
      </c>
    </row>
    <row r="51" spans="1:13" x14ac:dyDescent="0.3">
      <c r="A51">
        <v>45</v>
      </c>
      <c r="G51" t="s">
        <v>41</v>
      </c>
      <c r="I51">
        <f>I49/H49</f>
        <v>2.9702970297029703</v>
      </c>
      <c r="L51" t="s">
        <v>49</v>
      </c>
      <c r="M51">
        <f>_xlfn.CHISQ.TEST(H42:H48,L42:L48)</f>
        <v>0.1090346160572231</v>
      </c>
    </row>
    <row r="52" spans="1:13" x14ac:dyDescent="0.3">
      <c r="A52">
        <v>47</v>
      </c>
      <c r="G52" t="s">
        <v>42</v>
      </c>
      <c r="H52" t="s">
        <v>43</v>
      </c>
      <c r="I52">
        <v>6</v>
      </c>
    </row>
    <row r="53" spans="1:13" x14ac:dyDescent="0.3">
      <c r="A53">
        <v>49</v>
      </c>
      <c r="G53" t="s">
        <v>44</v>
      </c>
      <c r="I53">
        <f>I51/I52</f>
        <v>0.49504950495049505</v>
      </c>
    </row>
    <row r="54" spans="1:13" x14ac:dyDescent="0.3">
      <c r="G54" t="s">
        <v>45</v>
      </c>
      <c r="I54">
        <f>1-I53</f>
        <v>0.50495049504950495</v>
      </c>
    </row>
    <row r="56" spans="1:13" x14ac:dyDescent="0.3">
      <c r="D56" t="s">
        <v>50</v>
      </c>
    </row>
    <row r="57" spans="1:13" x14ac:dyDescent="0.3">
      <c r="D57" t="s">
        <v>51</v>
      </c>
      <c r="E57" t="s">
        <v>52</v>
      </c>
    </row>
    <row r="58" spans="1:13" x14ac:dyDescent="0.3">
      <c r="D58" t="s">
        <v>37</v>
      </c>
      <c r="E58" t="s">
        <v>38</v>
      </c>
      <c r="F58" t="s">
        <v>39</v>
      </c>
      <c r="G58" t="s">
        <v>53</v>
      </c>
      <c r="H58" t="s">
        <v>47</v>
      </c>
      <c r="I58" t="s">
        <v>54</v>
      </c>
    </row>
    <row r="59" spans="1:13" x14ac:dyDescent="0.3">
      <c r="D59">
        <v>0</v>
      </c>
      <c r="E59">
        <v>19</v>
      </c>
      <c r="F59">
        <f>D59*E59</f>
        <v>0</v>
      </c>
      <c r="G59">
        <f>_xlfn.POISSON.DIST(D59,$E$66,FALSE)</f>
        <v>0.36787944117144233</v>
      </c>
      <c r="H59">
        <f>$E$64*G59</f>
        <v>18.393972058572118</v>
      </c>
      <c r="I59">
        <v>19</v>
      </c>
    </row>
    <row r="60" spans="1:13" x14ac:dyDescent="0.3">
      <c r="D60">
        <v>1</v>
      </c>
      <c r="E60">
        <v>18</v>
      </c>
      <c r="F60">
        <f t="shared" ref="F60:F63" si="8">D60*E60</f>
        <v>18</v>
      </c>
      <c r="G60">
        <f t="shared" ref="G60:G63" si="9">_xlfn.POISSON.DIST(D60,$E$66,FALSE)</f>
        <v>0.36787944117144233</v>
      </c>
      <c r="H60">
        <f t="shared" ref="H60:H63" si="10">$E$64*G60</f>
        <v>18.393972058572118</v>
      </c>
      <c r="I60">
        <v>18</v>
      </c>
    </row>
    <row r="61" spans="1:13" x14ac:dyDescent="0.3">
      <c r="D61">
        <v>2</v>
      </c>
      <c r="E61">
        <v>8</v>
      </c>
      <c r="F61">
        <f t="shared" si="8"/>
        <v>16</v>
      </c>
      <c r="G61">
        <f t="shared" si="9"/>
        <v>0.18393972058572114</v>
      </c>
      <c r="H61">
        <f t="shared" si="10"/>
        <v>9.196986029286057</v>
      </c>
      <c r="I61">
        <v>9</v>
      </c>
    </row>
    <row r="62" spans="1:13" x14ac:dyDescent="0.3">
      <c r="D62">
        <v>3</v>
      </c>
      <c r="E62">
        <v>4</v>
      </c>
      <c r="F62">
        <f t="shared" si="8"/>
        <v>12</v>
      </c>
      <c r="G62">
        <f t="shared" si="9"/>
        <v>6.1313240195240391E-2</v>
      </c>
      <c r="H62">
        <f t="shared" si="10"/>
        <v>3.0656620097620197</v>
      </c>
      <c r="I62">
        <v>3</v>
      </c>
    </row>
    <row r="63" spans="1:13" x14ac:dyDescent="0.3">
      <c r="D63">
        <v>4</v>
      </c>
      <c r="E63">
        <v>1</v>
      </c>
      <c r="F63">
        <f t="shared" si="8"/>
        <v>4</v>
      </c>
      <c r="G63">
        <f t="shared" si="9"/>
        <v>1.5328310048810094E-2</v>
      </c>
      <c r="H63">
        <f t="shared" si="10"/>
        <v>0.76641550244050471</v>
      </c>
      <c r="I63">
        <v>1</v>
      </c>
    </row>
    <row r="64" spans="1:13" x14ac:dyDescent="0.3">
      <c r="E64">
        <f>SUM(E59:E63)</f>
        <v>50</v>
      </c>
      <c r="F64">
        <f>SUM(F59:F63)</f>
        <v>50</v>
      </c>
      <c r="I64">
        <f>SUM(I59:I63)</f>
        <v>50</v>
      </c>
    </row>
    <row r="66" spans="4:10" x14ac:dyDescent="0.3">
      <c r="D66" t="s">
        <v>40</v>
      </c>
      <c r="E66">
        <f>F64/E64</f>
        <v>1</v>
      </c>
      <c r="I66" t="s">
        <v>49</v>
      </c>
      <c r="J66">
        <f>_xlfn.CHISQ.TEST(E59:E63,I59:I63)</f>
        <v>0.97867904800943206</v>
      </c>
    </row>
    <row r="69" spans="4:10" x14ac:dyDescent="0.3">
      <c r="D69" t="s">
        <v>55</v>
      </c>
    </row>
    <row r="70" spans="4:10" x14ac:dyDescent="0.3">
      <c r="D70" t="s">
        <v>56</v>
      </c>
      <c r="E70" t="s">
        <v>57</v>
      </c>
      <c r="F70" t="s">
        <v>58</v>
      </c>
    </row>
    <row r="71" spans="4:10" x14ac:dyDescent="0.3">
      <c r="D71">
        <v>10</v>
      </c>
      <c r="E71">
        <v>5</v>
      </c>
      <c r="F71">
        <f>-0.05*D71 + 7.7</f>
        <v>7.2</v>
      </c>
    </row>
    <row r="72" spans="4:10" x14ac:dyDescent="0.3">
      <c r="D72">
        <v>20</v>
      </c>
      <c r="E72">
        <v>7</v>
      </c>
      <c r="F72">
        <f t="shared" ref="F72:F75" si="11">-0.05*D72 + 7.7</f>
        <v>6.7</v>
      </c>
    </row>
    <row r="73" spans="4:10" x14ac:dyDescent="0.3">
      <c r="D73">
        <v>30</v>
      </c>
      <c r="E73">
        <v>9</v>
      </c>
      <c r="F73">
        <f t="shared" si="11"/>
        <v>6.2</v>
      </c>
    </row>
    <row r="74" spans="4:10" x14ac:dyDescent="0.3">
      <c r="D74">
        <v>40</v>
      </c>
      <c r="E74">
        <v>8</v>
      </c>
      <c r="F74">
        <f t="shared" si="11"/>
        <v>5.7</v>
      </c>
    </row>
    <row r="75" spans="4:10" x14ac:dyDescent="0.3">
      <c r="D75">
        <v>50</v>
      </c>
      <c r="E75">
        <v>2</v>
      </c>
      <c r="F75">
        <f t="shared" si="11"/>
        <v>5.2</v>
      </c>
    </row>
    <row r="85" spans="7:7" x14ac:dyDescent="0.3">
      <c r="G85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Rajput</dc:creator>
  <cp:lastModifiedBy>Suresh Rajput</cp:lastModifiedBy>
  <dcterms:created xsi:type="dcterms:W3CDTF">2026-05-08T12:32:36Z</dcterms:created>
  <dcterms:modified xsi:type="dcterms:W3CDTF">2026-05-08T13:59:15Z</dcterms:modified>
</cp:coreProperties>
</file>