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gram &amp; Avg Variance" sheetId="1" state="visible" r:id="rId3"/>
    <sheet name="Stem &amp; Leaf Plot" sheetId="2" state="visible" r:id="rId4"/>
    <sheet name="Box Plot &amp; Dot Plot" sheetId="3" state="visible" r:id="rId5"/>
    <sheet name="P4 - Binomial Fitting" sheetId="4" state="visible" r:id="rId6"/>
    <sheet name="P5 - Poisson Fitting" sheetId="5" state="visible" r:id="rId7"/>
    <sheet name="P6 - Regression Analysis" sheetId="6" state="visible" r:id="rId8"/>
    <sheet name="Sample Correlation Coef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<sst xmlns="http://schemas.openxmlformats.org/spreadsheetml/2006/main" count="165" uniqueCount="136">
  <si>
    <t xml:space="preserve">Practical – Histogram, Average &amp; Variance</t>
  </si>
  <si>
    <t xml:space="preserve">Student Name</t>
  </si>
  <si>
    <t xml:space="preserve">Marks (xi)</t>
  </si>
  <si>
    <t xml:space="preserve">xi − x̄</t>
  </si>
  <si>
    <t xml:space="preserve">(xi − x̄)²</t>
  </si>
  <si>
    <t xml:space="preserve">AARTI</t>
  </si>
  <si>
    <t xml:space="preserve">AAKANKSHA</t>
  </si>
  <si>
    <t xml:space="preserve">ANJU</t>
  </si>
  <si>
    <t xml:space="preserve">ADARSH</t>
  </si>
  <si>
    <t xml:space="preserve">AMAN</t>
  </si>
  <si>
    <t xml:space="preserve">ANIKET</t>
  </si>
  <si>
    <t xml:space="preserve">ANISH</t>
  </si>
  <si>
    <t xml:space="preserve">ANUMEH</t>
  </si>
  <si>
    <t xml:space="preserve">ASHISH</t>
  </si>
  <si>
    <t xml:space="preserve">AYUSH</t>
  </si>
  <si>
    <t xml:space="preserve">BIBHU</t>
  </si>
  <si>
    <t xml:space="preserve">DEBASIS</t>
  </si>
  <si>
    <t xml:space="preserve">GAUTAM</t>
  </si>
  <si>
    <t xml:space="preserve">HARSH</t>
  </si>
  <si>
    <t xml:space="preserve">ABDUL</t>
  </si>
  <si>
    <t xml:space="preserve">MOHAN</t>
  </si>
  <si>
    <t xml:space="preserve">NITIN</t>
  </si>
  <si>
    <t xml:space="preserve">OMKAR</t>
  </si>
  <si>
    <t xml:space="preserve">PRIYA</t>
  </si>
  <si>
    <t xml:space="preserve">Total / Mean</t>
  </si>
  <si>
    <t xml:space="preserve">—</t>
  </si>
  <si>
    <t xml:space="preserve">Statistical Summary</t>
  </si>
  <si>
    <t xml:space="preserve">Mean (x̄)</t>
  </si>
  <si>
    <t xml:space="preserve">Variance (Population σ²)</t>
  </si>
  <si>
    <t xml:space="preserve">Variance (Sample s²)</t>
  </si>
  <si>
    <t xml:space="preserve">Std Dev (Population σ)</t>
  </si>
  <si>
    <t xml:space="preserve">Std Dev (Sample s)</t>
  </si>
  <si>
    <t xml:space="preserve">Frequency Distribution (Bins)</t>
  </si>
  <si>
    <t xml:space="preserve">Bin (Upper)</t>
  </si>
  <si>
    <t xml:space="preserve">Frequency</t>
  </si>
  <si>
    <t xml:space="preserve">Cum Freq</t>
  </si>
  <si>
    <t xml:space="preserve">Rel Freq %</t>
  </si>
  <si>
    <t xml:space="preserve">Practical – Stem and Leaf Plot</t>
  </si>
  <si>
    <t xml:space="preserve">Raw Data</t>
  </si>
  <si>
    <t xml:space="preserve">S.No</t>
  </si>
  <si>
    <t xml:space="preserve">Value</t>
  </si>
  <si>
    <t xml:space="preserve">Summary Statistics</t>
  </si>
  <si>
    <t xml:space="preserve">Maximum</t>
  </si>
  <si>
    <t xml:space="preserve">Minimum</t>
  </si>
  <si>
    <t xml:space="preserve">Count</t>
  </si>
  <si>
    <t xml:space="preserve">Mean</t>
  </si>
  <si>
    <t xml:space="preserve">Stem and Leaf Display</t>
  </si>
  <si>
    <t xml:space="preserve">Stem</t>
  </si>
  <si>
    <t xml:space="preserve">Leaves</t>
  </si>
  <si>
    <t xml:space="preserve">2 2 3 3 4 8</t>
  </si>
  <si>
    <t xml:space="preserve">3 3</t>
  </si>
  <si>
    <t xml:space="preserve">2 3 5</t>
  </si>
  <si>
    <t xml:space="preserve">3 5 7 9</t>
  </si>
  <si>
    <t xml:space="preserve">Practical – Box Plot and Dot Plot</t>
  </si>
  <si>
    <t xml:space="preserve">Brand A</t>
  </si>
  <si>
    <t xml:space="preserve">Brand B</t>
  </si>
  <si>
    <t xml:space="preserve">Brand C</t>
  </si>
  <si>
    <t xml:space="preserve">Five-Number Summary (Box Plot Statistics)</t>
  </si>
  <si>
    <t xml:space="preserve">Statistic</t>
  </si>
  <si>
    <t xml:space="preserve">Q1 (25%)</t>
  </si>
  <si>
    <t xml:space="preserve">Median Q2</t>
  </si>
  <si>
    <t xml:space="preserve">Q3 (75%)</t>
  </si>
  <si>
    <t xml:space="preserve">IQR</t>
  </si>
  <si>
    <t xml:space="preserve">Std Dev</t>
  </si>
  <si>
    <t xml:space="preserve">Practical 4 – Binomial Distribution Fitting</t>
  </si>
  <si>
    <t xml:space="preserve">x (r.v)</t>
  </si>
  <si>
    <t xml:space="preserve">Observed f</t>
  </si>
  <si>
    <t xml:space="preserve">x·f</t>
  </si>
  <si>
    <t xml:space="preserve">P(X=x)</t>
  </si>
  <si>
    <t xml:space="preserve">N·P(X)</t>
  </si>
  <si>
    <t xml:space="preserve">Expected f(x)</t>
  </si>
  <si>
    <t xml:space="preserve">Parameters</t>
  </si>
  <si>
    <t xml:space="preserve">Parameter</t>
  </si>
  <si>
    <t xml:space="preserve">Symbol</t>
  </si>
  <si>
    <t xml:space="preserve">Mean (np)</t>
  </si>
  <si>
    <t xml:space="preserve">x̄</t>
  </si>
  <si>
    <t xml:space="preserve">Trials</t>
  </si>
  <si>
    <t xml:space="preserve">n</t>
  </si>
  <si>
    <t xml:space="preserve">P(success)</t>
  </si>
  <si>
    <t xml:space="preserve">p</t>
  </si>
  <si>
    <t xml:space="preserve">Q(failure)</t>
  </si>
  <si>
    <t xml:space="preserve">q</t>
  </si>
  <si>
    <t xml:space="preserve">Chi-Square</t>
  </si>
  <si>
    <t xml:space="preserve">χ²</t>
  </si>
  <si>
    <t xml:space="preserve">Total</t>
  </si>
  <si>
    <t xml:space="preserve">Practical 5 – Poisson Distribution Fitting</t>
  </si>
  <si>
    <t xml:space="preserve">x (accidents/day)</t>
  </si>
  <si>
    <t xml:space="preserve">Observed f (days)</t>
  </si>
  <si>
    <t xml:space="preserve">Mean (λ)</t>
  </si>
  <si>
    <t xml:space="preserve">λ</t>
  </si>
  <si>
    <t xml:space="preserve">N (total)</t>
  </si>
  <si>
    <t xml:space="preserve">N</t>
  </si>
  <si>
    <t xml:space="preserve">Practical 6 – Regression Analysis (Y on X)</t>
  </si>
  <si>
    <t xml:space="preserve">X</t>
  </si>
  <si>
    <t xml:space="preserve">Y (Observed)</t>
  </si>
  <si>
    <t xml:space="preserve">X²</t>
  </si>
  <si>
    <t xml:space="preserve">Y²</t>
  </si>
  <si>
    <t xml:space="preserve">XY</t>
  </si>
  <si>
    <t xml:space="preserve">Ŷc (Calculated)</t>
  </si>
  <si>
    <t xml:space="preserve">(Y−Ŷ)²</t>
  </si>
  <si>
    <t xml:space="preserve">Residual</t>
  </si>
  <si>
    <t xml:space="preserve">Regression Parameters</t>
  </si>
  <si>
    <t xml:space="preserve">Formula</t>
  </si>
  <si>
    <t xml:space="preserve">5</t>
  </si>
  <si>
    <t xml:space="preserve">ΣX</t>
  </si>
  <si>
    <t xml:space="preserve">ΣY</t>
  </si>
  <si>
    <t xml:space="preserve">ΣXY</t>
  </si>
  <si>
    <t xml:space="preserve">ΣX²</t>
  </si>
  <si>
    <t xml:space="preserve">b_yx (slope)</t>
  </si>
  <si>
    <t xml:space="preserve">a (intercept)</t>
  </si>
  <si>
    <t xml:space="preserve">R (corr)</t>
  </si>
  <si>
    <t xml:space="preserve">R²</t>
  </si>
  <si>
    <t xml:space="preserve">SSE</t>
  </si>
  <si>
    <t xml:space="preserve">Regression Equation: Ŷ = a + b·X</t>
  </si>
  <si>
    <t xml:space="preserve">Practical – Sample Correlation Coefficient</t>
  </si>
  <si>
    <t xml:space="preserve">Xi</t>
  </si>
  <si>
    <t xml:space="preserve">Yi</t>
  </si>
  <si>
    <t xml:space="preserve">Zi(X)</t>
  </si>
  <si>
    <t xml:space="preserve">Zi(Y)</t>
  </si>
  <si>
    <t xml:space="preserve">Zi(X)·Zi(Y)</t>
  </si>
  <si>
    <t xml:space="preserve">(Xi−X̄)²</t>
  </si>
  <si>
    <t xml:space="preserve">(Yi−Ȳ)²</t>
  </si>
  <si>
    <t xml:space="preserve">Correlation Summary</t>
  </si>
  <si>
    <t xml:space="preserve">Mean of X</t>
  </si>
  <si>
    <t xml:space="preserve">X̄</t>
  </si>
  <si>
    <t xml:space="preserve">Mean of Y</t>
  </si>
  <si>
    <t xml:space="preserve">Ȳ</t>
  </si>
  <si>
    <t xml:space="preserve">Std Dev X</t>
  </si>
  <si>
    <t xml:space="preserve">σx</t>
  </si>
  <si>
    <t xml:space="preserve">Std Dev Y</t>
  </si>
  <si>
    <t xml:space="preserve">σy</t>
  </si>
  <si>
    <t xml:space="preserve">Σ Zi(X)·Zi(Y)</t>
  </si>
  <si>
    <t xml:space="preserve">Σ</t>
  </si>
  <si>
    <t xml:space="preserve">r (Pearson) manual</t>
  </si>
  <si>
    <t xml:space="preserve">r</t>
  </si>
  <si>
    <t xml:space="preserve">r (CORREL formula)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</si>
</sst>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0.00"/>
    <numFmt numFmtId="168" formatCode="0.00%"/>
    <numFmt numFmtId="169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4F81BD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D6E4F0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2E75B6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Histogram of Student 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'Histogram &amp; Avg Variance'!B33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'Histogram &amp; Avg Variance'!$A$34:$A$40</c:f>
              <c:strCache>
                <c:ptCount val="7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</c:strCache>
            </c:strRef>
          </c:cat>
          <c:val>
            <c:numRef>
              <c:f>'Histogram &amp; Avg Variance'!$B$34:$B$40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6</c:v>
                </c:pt>
                <c:pt idx="6">
                  <c:v>9</c:v>
                </c:pt>
              </c:numCache>
            </c:numRef>
          </c:val>
        </c:ser>
        <c:gapWidth val="150"/>
        <c:overlap val="0"/>
        <c:axId val="45231634"/>
        <c:axId val="60984451"/>
      </c:barChart>
      <c:catAx>
        <c:axId val="452316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Marks (Bins)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84451"/>
        <c:crosses val="autoZero"/>
        <c:auto val="1"/>
        <c:lblAlgn val="ctr"/>
        <c:lblOffset val="100"/>
        <c:noMultiLvlLbl val="0"/>
      </c:catAx>
      <c:valAx>
        <c:axId val="60984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31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Brand Comparison – Five Number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'Box Plot &amp; Dot Plot'!B16</c:f>
              <c:strCache>
                <c:ptCount val="1"/>
                <c:pt idx="0">
                  <c:v>Brand 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'Box Plot &amp; Dot Plot'!$A$17:$A$21</c:f>
              <c:strCache>
                <c:ptCount val="5"/>
                <c:pt idx="0">
                  <c:v>Minimum</c:v>
                </c:pt>
                <c:pt idx="1">
                  <c:v>Q1 (25%)</c:v>
                </c:pt>
                <c:pt idx="2">
                  <c:v>Median Q2</c:v>
                </c:pt>
                <c:pt idx="3">
                  <c:v>Q3 (75%)</c:v>
                </c:pt>
                <c:pt idx="4">
                  <c:v>Maximum</c:v>
                </c:pt>
              </c:strCache>
            </c:strRef>
          </c:cat>
          <c:val>
            <c:numRef>
              <c:f>'Box Plot &amp; Dot Plot'!$B$17:$B$21</c:f>
              <c:numCache>
                <c:formatCode>#,##0.00</c:formatCode>
                <c:ptCount val="5"/>
                <c:pt idx="0">
                  <c:v>380</c:v>
                </c:pt>
                <c:pt idx="1">
                  <c:v>522.5</c:v>
                </c:pt>
                <c:pt idx="2">
                  <c:v>725</c:v>
                </c:pt>
                <c:pt idx="3">
                  <c:v>962.5</c:v>
                </c:pt>
                <c:pt idx="4">
                  <c:v>1560</c:v>
                </c:pt>
              </c:numCache>
            </c:numRef>
          </c:val>
        </c:ser>
        <c:ser>
          <c:idx val="1"/>
          <c:order val="1"/>
          <c:tx>
            <c:strRef>
              <c:f>'Box Plot &amp; Dot Plot'!C16</c:f>
              <c:strCache>
                <c:ptCount val="1"/>
                <c:pt idx="0">
                  <c:v>Brand B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'Box Plot &amp; Dot Plot'!$A$17:$A$21</c:f>
              <c:strCache>
                <c:ptCount val="5"/>
                <c:pt idx="0">
                  <c:v>Minimum</c:v>
                </c:pt>
                <c:pt idx="1">
                  <c:v>Q1 (25%)</c:v>
                </c:pt>
                <c:pt idx="2">
                  <c:v>Median Q2</c:v>
                </c:pt>
                <c:pt idx="3">
                  <c:v>Q3 (75%)</c:v>
                </c:pt>
                <c:pt idx="4">
                  <c:v>Maximum</c:v>
                </c:pt>
              </c:strCache>
            </c:strRef>
          </c:cat>
          <c:val>
            <c:numRef>
              <c:f>'Box Plot &amp; Dot Plot'!$C$17:$C$21</c:f>
              <c:numCache>
                <c:formatCode>#,##0.00</c:formatCode>
                <c:ptCount val="5"/>
                <c:pt idx="0">
                  <c:v>300</c:v>
                </c:pt>
                <c:pt idx="1">
                  <c:v>485</c:v>
                </c:pt>
                <c:pt idx="2">
                  <c:v>705</c:v>
                </c:pt>
                <c:pt idx="3">
                  <c:v>825</c:v>
                </c:pt>
                <c:pt idx="4">
                  <c:v>1850</c:v>
                </c:pt>
              </c:numCache>
            </c:numRef>
          </c:val>
        </c:ser>
        <c:ser>
          <c:idx val="2"/>
          <c:order val="2"/>
          <c:tx>
            <c:strRef>
              <c:f>'Box Plot &amp; Dot Plot'!D16</c:f>
              <c:strCache>
                <c:ptCount val="1"/>
                <c:pt idx="0">
                  <c:v>Brand C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'Box Plot &amp; Dot Plot'!$A$17:$A$21</c:f>
              <c:strCache>
                <c:ptCount val="5"/>
                <c:pt idx="0">
                  <c:v>Minimum</c:v>
                </c:pt>
                <c:pt idx="1">
                  <c:v>Q1 (25%)</c:v>
                </c:pt>
                <c:pt idx="2">
                  <c:v>Median Q2</c:v>
                </c:pt>
                <c:pt idx="3">
                  <c:v>Q3 (75%)</c:v>
                </c:pt>
                <c:pt idx="4">
                  <c:v>Maximum</c:v>
                </c:pt>
              </c:strCache>
            </c:strRef>
          </c:cat>
          <c:val>
            <c:numRef>
              <c:f>'Box Plot &amp; Dot Plot'!$D$17:$D$21</c:f>
              <c:numCache>
                <c:formatCode>#,##0.00</c:formatCode>
                <c:ptCount val="5"/>
                <c:pt idx="0">
                  <c:v>430</c:v>
                </c:pt>
                <c:pt idx="1">
                  <c:v>772.5</c:v>
                </c:pt>
                <c:pt idx="2">
                  <c:v>905</c:v>
                </c:pt>
                <c:pt idx="3">
                  <c:v>1237.5</c:v>
                </c:pt>
                <c:pt idx="4">
                  <c:v>1750</c:v>
                </c:pt>
              </c:numCache>
            </c:numRef>
          </c:val>
        </c:ser>
        <c:gapWidth val="150"/>
        <c:overlap val="0"/>
        <c:axId val="29806514"/>
        <c:axId val="81883198"/>
      </c:barChart>
      <c:catAx>
        <c:axId val="298065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Statistic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83198"/>
        <c:crosses val="autoZero"/>
        <c:auto val="1"/>
        <c:lblAlgn val="ctr"/>
        <c:lblOffset val="100"/>
        <c:noMultiLvlLbl val="0"/>
      </c:catAx>
      <c:valAx>
        <c:axId val="818831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065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Dot Plot – All Brands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"Brand A"</c:f>
              <c:strCache>
                <c:ptCount val="1"/>
                <c:pt idx="0">
                  <c:v>Brand A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'Box Plot &amp; Dot Plot'!$A$3:$A$12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'Box Plot &amp; Dot Plot'!$B$3:$B$12</c:f>
              <c:numCache>
                <c:formatCode>General</c:formatCode>
                <c:ptCount val="10"/>
                <c:pt idx="0">
                  <c:v>1020</c:v>
                </c:pt>
                <c:pt idx="1">
                  <c:v>1560</c:v>
                </c:pt>
                <c:pt idx="2">
                  <c:v>560</c:v>
                </c:pt>
                <c:pt idx="3">
                  <c:v>780</c:v>
                </c:pt>
                <c:pt idx="4">
                  <c:v>990</c:v>
                </c:pt>
                <c:pt idx="5">
                  <c:v>670</c:v>
                </c:pt>
                <c:pt idx="6">
                  <c:v>510</c:v>
                </c:pt>
                <c:pt idx="7">
                  <c:v>490</c:v>
                </c:pt>
                <c:pt idx="8">
                  <c:v>380</c:v>
                </c:pt>
                <c:pt idx="9">
                  <c:v>880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"Brand B"</c:f>
              <c:strCache>
                <c:ptCount val="1"/>
                <c:pt idx="0">
                  <c:v>Brand B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'Box Plot &amp; Dot Plot'!$A$3:$A$12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'Box Plot &amp; Dot Plot'!$C$3:$C$12</c:f>
              <c:numCache>
                <c:formatCode>General</c:formatCode>
                <c:ptCount val="10"/>
                <c:pt idx="0">
                  <c:v>840</c:v>
                </c:pt>
                <c:pt idx="1">
                  <c:v>940</c:v>
                </c:pt>
                <c:pt idx="2">
                  <c:v>780</c:v>
                </c:pt>
                <c:pt idx="3">
                  <c:v>650</c:v>
                </c:pt>
                <c:pt idx="4">
                  <c:v>720</c:v>
                </c:pt>
                <c:pt idx="5">
                  <c:v>430</c:v>
                </c:pt>
                <c:pt idx="6">
                  <c:v>1850</c:v>
                </c:pt>
                <c:pt idx="7">
                  <c:v>300</c:v>
                </c:pt>
                <c:pt idx="8">
                  <c:v>360</c:v>
                </c:pt>
                <c:pt idx="9">
                  <c:v>690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"Brand C"</c:f>
              <c:strCache>
                <c:ptCount val="1"/>
                <c:pt idx="0">
                  <c:v>Brand C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'Box Plot &amp; Dot Plot'!$A$3:$A$12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'Box Plot &amp; Dot Plot'!$D$3:$D$12</c:f>
              <c:numCache>
                <c:formatCode>General</c:formatCode>
                <c:ptCount val="10"/>
                <c:pt idx="0">
                  <c:v>1430</c:v>
                </c:pt>
                <c:pt idx="1">
                  <c:v>1750</c:v>
                </c:pt>
                <c:pt idx="2">
                  <c:v>870</c:v>
                </c:pt>
                <c:pt idx="3">
                  <c:v>920</c:v>
                </c:pt>
                <c:pt idx="4">
                  <c:v>1300</c:v>
                </c:pt>
                <c:pt idx="5">
                  <c:v>890</c:v>
                </c:pt>
                <c:pt idx="6">
                  <c:v>740</c:v>
                </c:pt>
                <c:pt idx="7">
                  <c:v>720</c:v>
                </c:pt>
                <c:pt idx="8">
                  <c:v>430</c:v>
                </c:pt>
                <c:pt idx="9">
                  <c:v>1050</c:v>
                </c:pt>
              </c:numCache>
            </c:numRef>
          </c:yVal>
          <c:smooth val="1"/>
        </c:ser>
        <c:axId val="190722"/>
        <c:axId val="93559332"/>
      </c:scatterChart>
      <c:valAx>
        <c:axId val="19072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Observation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59332"/>
        <c:crosses val="autoZero"/>
        <c:crossBetween val="midCat"/>
      </c:valAx>
      <c:valAx>
        <c:axId val="935593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7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Binomial Distribution – Observed vs Expected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'P4 - Binomial Fitting'!B2</c:f>
              <c:strCache>
                <c:ptCount val="1"/>
                <c:pt idx="0">
                  <c:v>Observed f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'P4 - Binomial Fitting'!$A$2:$A$9</c:f>
              <c:strCache>
                <c:ptCount val="8"/>
                <c:pt idx="0">
                  <c:v>x (r.v)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cat>
          <c:val>
            <c:numRef>
              <c:f>'P4 - Binomial Fitting'!$B$3:$B$9</c:f>
              <c:numCache>
                <c:formatCode>General</c:formatCode>
                <c:ptCount val="7"/>
                <c:pt idx="0">
                  <c:v>5</c:v>
                </c:pt>
                <c:pt idx="1">
                  <c:v>12</c:v>
                </c:pt>
                <c:pt idx="2">
                  <c:v>19</c:v>
                </c:pt>
                <c:pt idx="3">
                  <c:v>28</c:v>
                </c:pt>
                <c:pt idx="4">
                  <c:v>21</c:v>
                </c:pt>
                <c:pt idx="5">
                  <c:v>14</c:v>
                </c:pt>
                <c:pt idx="6">
                  <c:v>2</c:v>
                </c:pt>
              </c:numCache>
            </c:numRef>
          </c:val>
        </c:ser>
        <c:ser>
          <c:idx val="1"/>
          <c:order val="1"/>
          <c:tx>
            <c:strRef>
              <c:f>'P4 - Binomial Fitting'!F2</c:f>
              <c:strCache>
                <c:ptCount val="1"/>
                <c:pt idx="0">
                  <c:v>Expected f(x)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'P4 - Binomial Fitting'!$A$2:$A$9</c:f>
              <c:strCache>
                <c:ptCount val="8"/>
                <c:pt idx="0">
                  <c:v>x (r.v)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</c:strCache>
            </c:strRef>
          </c:cat>
          <c:val>
            <c:numRef>
              <c:f>'P4 - Binomial Fitting'!$F$3:$F$9</c:f>
              <c:numCache>
                <c:formatCode>General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24</c:v>
                </c:pt>
                <c:pt idx="3">
                  <c:v>32</c:v>
                </c:pt>
                <c:pt idx="4">
                  <c:v>23</c:v>
                </c:pt>
                <c:pt idx="5">
                  <c:v>9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10456081"/>
        <c:axId val="53799999"/>
      </c:barChart>
      <c:catAx>
        <c:axId val="104560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(r.v)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99999"/>
        <c:crosses val="autoZero"/>
        <c:auto val="1"/>
        <c:lblAlgn val="ctr"/>
        <c:lblOffset val="100"/>
        <c:noMultiLvlLbl val="0"/>
      </c:catAx>
      <c:valAx>
        <c:axId val="537999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6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Poisson Distribution – Observed vs Expected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'P5 - Poisson Fitting'!B2</c:f>
              <c:strCache>
                <c:ptCount val="1"/>
                <c:pt idx="0">
                  <c:v>Observed f (days)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'P5 - Poisson Fitting'!$A$2:$A$8</c:f>
              <c:strCache>
                <c:ptCount val="7"/>
                <c:pt idx="0">
                  <c:v>x (accidents/day)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/>
                </c:pt>
              </c:strCache>
            </c:strRef>
          </c:cat>
          <c:val>
            <c:numRef>
              <c:f>'P5 - Poisson Fitting'!$B$3:$B$8</c:f>
              <c:numCache>
                <c:formatCode>General</c:formatCode>
                <c:ptCount val="6"/>
                <c:pt idx="0">
                  <c:v>19</c:v>
                </c:pt>
                <c:pt idx="1">
                  <c:v>18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'P5 - Poisson Fitting'!F2</c:f>
              <c:strCache>
                <c:ptCount val="1"/>
                <c:pt idx="0">
                  <c:v>Expected f(x)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'P5 - Poisson Fitting'!$A$2:$A$8</c:f>
              <c:strCache>
                <c:ptCount val="7"/>
                <c:pt idx="0">
                  <c:v>x (accidents/day)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/>
                </c:pt>
              </c:strCache>
            </c:strRef>
          </c:cat>
          <c:val>
            <c:numRef>
              <c:f>'P5 - Poisson Fitting'!$F$3:$F$8</c:f>
              <c:numCache>
                <c:formatCode>General</c:formatCode>
                <c:ptCount val="6"/>
                <c:pt idx="0">
                  <c:v>18</c:v>
                </c:pt>
                <c:pt idx="1">
                  <c:v>18</c:v>
                </c:pt>
                <c:pt idx="2">
                  <c:v>9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57328214"/>
        <c:axId val="93580674"/>
      </c:barChart>
      <c:catAx>
        <c:axId val="57328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(accidents/day)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80674"/>
        <c:crosses val="autoZero"/>
        <c:auto val="1"/>
        <c:lblAlgn val="ctr"/>
        <c:lblOffset val="100"/>
        <c:noMultiLvlLbl val="0"/>
      </c:catAx>
      <c:valAx>
        <c:axId val="935806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28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Regression Analysis – Observed vs Fitted (Ŷ)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"Observed Y"</c:f>
              <c:strCache>
                <c:ptCount val="1"/>
                <c:pt idx="0">
                  <c:v>Observed Y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'P6 - Regression Analysis'!$A$3:$A$7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'P6 - Regression Analysis'!$B$3:$B$7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"Fitted Ŷ"</c:f>
              <c:strCache>
                <c:ptCount val="1"/>
                <c:pt idx="0">
                  <c:v>Fitted Ŷ</c:v>
                </c:pt>
              </c:strCache>
            </c:strRef>
          </c:tx>
          <c:spPr>
            <a:solidFill>
              <a:srgbClr val="ff0000"/>
            </a:solidFill>
            <a:ln w="20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'P6 - Regression Analysis'!$A$3:$A$7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'P6 - Regression Analysis'!$F$3:$F$7</c:f>
              <c:numCache>
                <c:formatCode>0.0000</c:formatCode>
                <c:ptCount val="5"/>
                <c:pt idx="0">
                  <c:v>7.2</c:v>
                </c:pt>
                <c:pt idx="1">
                  <c:v>6.7</c:v>
                </c:pt>
                <c:pt idx="2">
                  <c:v>6.2</c:v>
                </c:pt>
                <c:pt idx="3">
                  <c:v>5.7</c:v>
                </c:pt>
                <c:pt idx="4">
                  <c:v>5.2</c:v>
                </c:pt>
              </c:numCache>
            </c:numRef>
          </c:yVal>
          <c:smooth val="1"/>
        </c:ser>
        <c:axId val="80973507"/>
        <c:axId val="32594862"/>
      </c:scatterChart>
      <c:valAx>
        <c:axId val="8097350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4862"/>
        <c:crosses val="autoZero"/>
        <c:crossBetween val="midCat"/>
      </c:valAx>
      <c:valAx>
        <c:axId val="325948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735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Scatter Plot – Xi vs Yi (Correlation)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"(Xi, Yi)"</c:f>
              <c:strCache>
                <c:ptCount val="1"/>
                <c:pt idx="0">
                  <c:v>(Xi, Yi)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'Sample Correlation Coeff'!$B$3:$B$12</c:f>
              <c:numCache>
                <c:formatCode>General</c:formatCode>
                <c:ptCount val="10"/>
                <c:pt idx="0">
                  <c:v>8</c:v>
                </c:pt>
                <c:pt idx="1">
                  <c:v>3</c:v>
                </c:pt>
                <c:pt idx="2">
                  <c:v>2</c:v>
                </c:pt>
                <c:pt idx="3">
                  <c:v>10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</c:numCache>
            </c:numRef>
          </c:xVal>
          <c:yVal>
            <c:numRef>
              <c:f>'Sample Correlation Coeff'!$C$3:$C$12</c:f>
              <c:numCache>
                <c:formatCode>General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1</c:v>
                </c:pt>
                <c:pt idx="3">
                  <c:v>12</c:v>
                </c:pt>
                <c:pt idx="4">
                  <c:v>9</c:v>
                </c:pt>
                <c:pt idx="5">
                  <c:v>4</c:v>
                </c:pt>
                <c:pt idx="6">
                  <c:v>9</c:v>
                </c:pt>
                <c:pt idx="7">
                  <c:v>6</c:v>
                </c:pt>
                <c:pt idx="8">
                  <c:v>1</c:v>
                </c:pt>
                <c:pt idx="9">
                  <c:v>14</c:v>
                </c:pt>
              </c:numCache>
            </c:numRef>
          </c:yVal>
          <c:smooth val="1"/>
        </c:ser>
        <c:axId val="13374695"/>
        <c:axId val="41017668"/>
      </c:scatterChart>
      <c:valAx>
        <c:axId val="1337469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17668"/>
        <c:crosses val="autoZero"/>
        <c:crossBetween val="midCat"/>
      </c:valAx>
      <c:valAx>
        <c:axId val="410176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746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4840560" y="5047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5686560" y="3142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16</xdr:col>
      <xdr:colOff>473040</xdr:colOff>
      <xdr:row>39</xdr:row>
      <xdr:rowOff>128880</xdr:rowOff>
    </xdr:to>
    <xdr:graphicFrame>
      <xdr:nvGraphicFramePr>
        <xdr:cNvPr id="2" name="Chart 2"/>
        <xdr:cNvGraphicFramePr/>
      </xdr:nvGraphicFramePr>
      <xdr:xfrm>
        <a:off x="5686560" y="33624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7</xdr:col>
      <xdr:colOff>1216080</xdr:colOff>
      <xdr:row>34</xdr:row>
      <xdr:rowOff>128520</xdr:rowOff>
    </xdr:to>
    <xdr:graphicFrame>
      <xdr:nvGraphicFramePr>
        <xdr:cNvPr id="3" name="Chart 1"/>
        <xdr:cNvGraphicFramePr/>
      </xdr:nvGraphicFramePr>
      <xdr:xfrm>
        <a:off x="0" y="2409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6</xdr:col>
      <xdr:colOff>558720</xdr:colOff>
      <xdr:row>33</xdr:row>
      <xdr:rowOff>128880</xdr:rowOff>
    </xdr:to>
    <xdr:graphicFrame>
      <xdr:nvGraphicFramePr>
        <xdr:cNvPr id="4" name="Chart 1"/>
        <xdr:cNvGraphicFramePr/>
      </xdr:nvGraphicFramePr>
      <xdr:xfrm>
        <a:off x="0" y="2219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8</xdr:col>
      <xdr:colOff>136080</xdr:colOff>
      <xdr:row>33</xdr:row>
      <xdr:rowOff>128880</xdr:rowOff>
    </xdr:to>
    <xdr:graphicFrame>
      <xdr:nvGraphicFramePr>
        <xdr:cNvPr id="5" name="Chart 1"/>
        <xdr:cNvGraphicFramePr/>
      </xdr:nvGraphicFramePr>
      <xdr:xfrm>
        <a:off x="0" y="22194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8</xdr:col>
      <xdr:colOff>417960</xdr:colOff>
      <xdr:row>38</xdr:row>
      <xdr:rowOff>128880</xdr:rowOff>
    </xdr:to>
    <xdr:graphicFrame>
      <xdr:nvGraphicFramePr>
        <xdr:cNvPr id="6" name="Chart 1"/>
        <xdr:cNvGraphicFramePr/>
      </xdr:nvGraphicFramePr>
      <xdr:xfrm>
        <a:off x="0" y="31719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true" outlineLevel="0" collapsed="false">
      <c r="A3" s="4" t="s">
        <v>5</v>
      </c>
      <c r="B3" s="5" t="n">
        <v>98</v>
      </c>
      <c r="C3" s="6" t="n">
        <f aca="false">B3-$B$23</f>
        <v>5.05</v>
      </c>
      <c r="D3" s="6" t="n">
        <f aca="false">C3^2</f>
        <v>25.5025</v>
      </c>
    </row>
    <row r="4" customFormat="false" ht="15" hidden="false" customHeight="true" outlineLevel="0" collapsed="false">
      <c r="A4" s="7" t="s">
        <v>6</v>
      </c>
      <c r="B4" s="8" t="n">
        <v>88</v>
      </c>
      <c r="C4" s="9" t="n">
        <f aca="false">B4-$B$23</f>
        <v>-4.95</v>
      </c>
      <c r="D4" s="9" t="n">
        <f aca="false">C4^2</f>
        <v>24.5025</v>
      </c>
    </row>
    <row r="5" customFormat="false" ht="15" hidden="false" customHeight="true" outlineLevel="0" collapsed="false">
      <c r="A5" s="4" t="s">
        <v>7</v>
      </c>
      <c r="B5" s="5" t="n">
        <v>98</v>
      </c>
      <c r="C5" s="6" t="n">
        <f aca="false">B5-$B$23</f>
        <v>5.05</v>
      </c>
      <c r="D5" s="6" t="n">
        <f aca="false">C5^2</f>
        <v>25.5025</v>
      </c>
    </row>
    <row r="6" customFormat="false" ht="15" hidden="false" customHeight="true" outlineLevel="0" collapsed="false">
      <c r="A6" s="7" t="s">
        <v>8</v>
      </c>
      <c r="B6" s="8" t="n">
        <v>92</v>
      </c>
      <c r="C6" s="9" t="n">
        <f aca="false">B6-$B$23</f>
        <v>-0.950000000000003</v>
      </c>
      <c r="D6" s="9" t="n">
        <f aca="false">C6^2</f>
        <v>0.902500000000005</v>
      </c>
    </row>
    <row r="7" customFormat="false" ht="15" hidden="false" customHeight="true" outlineLevel="0" collapsed="false">
      <c r="A7" s="4" t="s">
        <v>9</v>
      </c>
      <c r="B7" s="5" t="n">
        <v>98</v>
      </c>
      <c r="C7" s="6" t="n">
        <f aca="false">B7-$B$23</f>
        <v>5.05</v>
      </c>
      <c r="D7" s="6" t="n">
        <f aca="false">C7^2</f>
        <v>25.5025</v>
      </c>
    </row>
    <row r="8" customFormat="false" ht="15" hidden="false" customHeight="true" outlineLevel="0" collapsed="false">
      <c r="A8" s="7" t="s">
        <v>10</v>
      </c>
      <c r="B8" s="8" t="n">
        <v>70</v>
      </c>
      <c r="C8" s="9" t="n">
        <f aca="false">B8-$B$23</f>
        <v>-22.95</v>
      </c>
      <c r="D8" s="9" t="n">
        <f aca="false">C8^2</f>
        <v>526.7025</v>
      </c>
    </row>
    <row r="9" customFormat="false" ht="15" hidden="false" customHeight="true" outlineLevel="0" collapsed="false">
      <c r="A9" s="4" t="s">
        <v>11</v>
      </c>
      <c r="B9" s="5" t="n">
        <v>98</v>
      </c>
      <c r="C9" s="6" t="n">
        <f aca="false">B9-$B$23</f>
        <v>5.05</v>
      </c>
      <c r="D9" s="6" t="n">
        <f aca="false">C9^2</f>
        <v>25.5025</v>
      </c>
    </row>
    <row r="10" customFormat="false" ht="15" hidden="false" customHeight="true" outlineLevel="0" collapsed="false">
      <c r="A10" s="7" t="s">
        <v>12</v>
      </c>
      <c r="B10" s="8" t="n">
        <v>96</v>
      </c>
      <c r="C10" s="9" t="n">
        <f aca="false">B10-$B$23</f>
        <v>3.05</v>
      </c>
      <c r="D10" s="9" t="n">
        <f aca="false">C10^2</f>
        <v>9.30249999999998</v>
      </c>
    </row>
    <row r="11" customFormat="false" ht="15" hidden="false" customHeight="true" outlineLevel="0" collapsed="false">
      <c r="A11" s="4" t="s">
        <v>13</v>
      </c>
      <c r="B11" s="5" t="n">
        <v>97</v>
      </c>
      <c r="C11" s="6" t="n">
        <f aca="false">B11-$B$23</f>
        <v>4.05</v>
      </c>
      <c r="D11" s="6" t="n">
        <f aca="false">C11^2</f>
        <v>16.4025</v>
      </c>
    </row>
    <row r="12" customFormat="false" ht="15" hidden="false" customHeight="true" outlineLevel="0" collapsed="false">
      <c r="A12" s="7" t="s">
        <v>14</v>
      </c>
      <c r="B12" s="8" t="n">
        <v>97</v>
      </c>
      <c r="C12" s="9" t="n">
        <f aca="false">B12-$B$23</f>
        <v>4.05</v>
      </c>
      <c r="D12" s="9" t="n">
        <f aca="false">C12^2</f>
        <v>16.4025</v>
      </c>
    </row>
    <row r="13" customFormat="false" ht="15" hidden="false" customHeight="true" outlineLevel="0" collapsed="false">
      <c r="A13" s="4" t="s">
        <v>15</v>
      </c>
      <c r="B13" s="5" t="n">
        <v>97</v>
      </c>
      <c r="C13" s="6" t="n">
        <f aca="false">B13-$B$23</f>
        <v>4.05</v>
      </c>
      <c r="D13" s="6" t="n">
        <f aca="false">C13^2</f>
        <v>16.4025</v>
      </c>
    </row>
    <row r="14" customFormat="false" ht="15" hidden="false" customHeight="true" outlineLevel="0" collapsed="false">
      <c r="A14" s="7" t="s">
        <v>16</v>
      </c>
      <c r="B14" s="8" t="n">
        <v>95</v>
      </c>
      <c r="C14" s="9" t="n">
        <f aca="false">B14-$B$23</f>
        <v>2.05</v>
      </c>
      <c r="D14" s="9" t="n">
        <f aca="false">C14^2</f>
        <v>4.20249999999999</v>
      </c>
    </row>
    <row r="15" customFormat="false" ht="15" hidden="false" customHeight="true" outlineLevel="0" collapsed="false">
      <c r="A15" s="4" t="s">
        <v>17</v>
      </c>
      <c r="B15" s="5" t="n">
        <v>95</v>
      </c>
      <c r="C15" s="6" t="n">
        <f aca="false">B15-$B$23</f>
        <v>2.05</v>
      </c>
      <c r="D15" s="6" t="n">
        <f aca="false">C15^2</f>
        <v>4.20249999999999</v>
      </c>
    </row>
    <row r="16" customFormat="false" ht="15" hidden="false" customHeight="true" outlineLevel="0" collapsed="false">
      <c r="A16" s="7" t="s">
        <v>17</v>
      </c>
      <c r="B16" s="8" t="n">
        <v>94</v>
      </c>
      <c r="C16" s="9" t="n">
        <f aca="false">B16-$B$23</f>
        <v>1.05</v>
      </c>
      <c r="D16" s="9" t="n">
        <f aca="false">C16^2</f>
        <v>1.10249999999999</v>
      </c>
    </row>
    <row r="17" customFormat="false" ht="15" hidden="false" customHeight="true" outlineLevel="0" collapsed="false">
      <c r="A17" s="4" t="s">
        <v>18</v>
      </c>
      <c r="B17" s="5" t="n">
        <v>93</v>
      </c>
      <c r="C17" s="6" t="n">
        <f aca="false">B17-$B$23</f>
        <v>0.0499999999999972</v>
      </c>
      <c r="D17" s="6" t="n">
        <f aca="false">C17^2</f>
        <v>0.00249999999999972</v>
      </c>
    </row>
    <row r="18" customFormat="false" ht="15" hidden="false" customHeight="true" outlineLevel="0" collapsed="false">
      <c r="A18" s="7" t="s">
        <v>19</v>
      </c>
      <c r="B18" s="8" t="n">
        <v>88</v>
      </c>
      <c r="C18" s="9" t="n">
        <f aca="false">B18-$B$23</f>
        <v>-4.95</v>
      </c>
      <c r="D18" s="9" t="n">
        <f aca="false">C18^2</f>
        <v>24.5025</v>
      </c>
    </row>
    <row r="19" customFormat="false" ht="15" hidden="false" customHeight="true" outlineLevel="0" collapsed="false">
      <c r="A19" s="4" t="s">
        <v>20</v>
      </c>
      <c r="B19" s="5" t="n">
        <v>87</v>
      </c>
      <c r="C19" s="6" t="n">
        <f aca="false">B19-$B$23</f>
        <v>-5.95</v>
      </c>
      <c r="D19" s="6" t="n">
        <f aca="false">C19^2</f>
        <v>35.4025</v>
      </c>
    </row>
    <row r="20" customFormat="false" ht="15" hidden="false" customHeight="true" outlineLevel="0" collapsed="false">
      <c r="A20" s="7" t="s">
        <v>21</v>
      </c>
      <c r="B20" s="8" t="n">
        <v>86</v>
      </c>
      <c r="C20" s="9" t="n">
        <f aca="false">B20-$B$23</f>
        <v>-6.95</v>
      </c>
      <c r="D20" s="9" t="n">
        <f aca="false">C20^2</f>
        <v>48.3025</v>
      </c>
    </row>
    <row r="21" customFormat="false" ht="15" hidden="false" customHeight="true" outlineLevel="0" collapsed="false">
      <c r="A21" s="4" t="s">
        <v>22</v>
      </c>
      <c r="B21" s="5" t="n">
        <v>93</v>
      </c>
      <c r="C21" s="6" t="n">
        <f aca="false">B21-$B$23</f>
        <v>0.0499999999999972</v>
      </c>
      <c r="D21" s="6" t="n">
        <f aca="false">C21^2</f>
        <v>0.00249999999999972</v>
      </c>
    </row>
    <row r="22" customFormat="false" ht="15" hidden="false" customHeight="true" outlineLevel="0" collapsed="false">
      <c r="A22" s="7" t="s">
        <v>23</v>
      </c>
      <c r="B22" s="8" t="n">
        <v>99</v>
      </c>
      <c r="C22" s="9" t="n">
        <f aca="false">B22-$B$23</f>
        <v>6.05</v>
      </c>
      <c r="D22" s="9" t="n">
        <f aca="false">C22^2</f>
        <v>36.6025</v>
      </c>
    </row>
    <row r="23" customFormat="false" ht="15" hidden="false" customHeight="true" outlineLevel="0" collapsed="false">
      <c r="A23" s="10" t="s">
        <v>24</v>
      </c>
      <c r="B23" s="11" t="n">
        <f aca="false">AVERAGE(B3:B22)</f>
        <v>92.95</v>
      </c>
      <c r="C23" s="12" t="s">
        <v>25</v>
      </c>
      <c r="D23" s="13" t="n">
        <f aca="false">SUM(D3:D22)</f>
        <v>866.95</v>
      </c>
    </row>
    <row r="25" customFormat="false" ht="15" hidden="false" customHeight="true" outlineLevel="0" collapsed="false">
      <c r="A25" s="14" t="s">
        <v>26</v>
      </c>
      <c r="B25" s="14"/>
      <c r="C25" s="14"/>
      <c r="D25" s="14"/>
    </row>
    <row r="26" customFormat="false" ht="15" hidden="false" customHeight="true" outlineLevel="0" collapsed="false">
      <c r="A26" s="15" t="s">
        <v>27</v>
      </c>
      <c r="B26" s="16" t="n">
        <f aca="false">B23</f>
        <v>92.95</v>
      </c>
    </row>
    <row r="27" customFormat="false" ht="15" hidden="false" customHeight="true" outlineLevel="0" collapsed="false">
      <c r="A27" s="15" t="s">
        <v>28</v>
      </c>
      <c r="B27" s="16" t="n">
        <f aca="false">D23/20</f>
        <v>43.3475</v>
      </c>
    </row>
    <row r="28" customFormat="false" ht="15" hidden="false" customHeight="true" outlineLevel="0" collapsed="false">
      <c r="A28" s="15" t="s">
        <v>29</v>
      </c>
      <c r="B28" s="16" t="n">
        <f aca="false">D23/(20-1)</f>
        <v>45.6289473684211</v>
      </c>
    </row>
    <row r="29" customFormat="false" ht="15" hidden="false" customHeight="true" outlineLevel="0" collapsed="false">
      <c r="A29" s="15" t="s">
        <v>30</v>
      </c>
      <c r="B29" s="16" t="n">
        <f aca="false">SQRT(D23/20)</f>
        <v>6.58388183369052</v>
      </c>
    </row>
    <row r="30" customFormat="false" ht="15" hidden="false" customHeight="true" outlineLevel="0" collapsed="false">
      <c r="A30" s="15" t="s">
        <v>31</v>
      </c>
      <c r="B30" s="16" t="n">
        <f aca="false">SQRT(D23/(20-1))</f>
        <v>6.75492023405318</v>
      </c>
    </row>
    <row r="32" customFormat="false" ht="15" hidden="false" customHeight="true" outlineLevel="0" collapsed="false">
      <c r="A32" s="14" t="s">
        <v>32</v>
      </c>
      <c r="B32" s="14"/>
      <c r="C32" s="14"/>
      <c r="D32" s="14"/>
    </row>
    <row r="33" customFormat="false" ht="15" hidden="false" customHeight="true" outlineLevel="0" collapsed="false">
      <c r="A33" s="3" t="s">
        <v>33</v>
      </c>
      <c r="B33" s="3" t="s">
        <v>34</v>
      </c>
      <c r="C33" s="3" t="s">
        <v>35</v>
      </c>
      <c r="D33" s="3" t="s">
        <v>36</v>
      </c>
    </row>
    <row r="34" customFormat="false" ht="15" hidden="false" customHeight="true" outlineLevel="0" collapsed="false">
      <c r="A34" s="12" t="n">
        <v>70</v>
      </c>
      <c r="B34" s="12" t="n">
        <v>1</v>
      </c>
      <c r="C34" s="12" t="n">
        <f aca="false">SUM($B$34:B34)</f>
        <v>1</v>
      </c>
      <c r="D34" s="17" t="n">
        <f aca="false">B34/SUM($B$34:$B$40)</f>
        <v>0.05</v>
      </c>
    </row>
    <row r="35" customFormat="false" ht="15" hidden="false" customHeight="true" outlineLevel="0" collapsed="false">
      <c r="A35" s="12" t="n">
        <v>75</v>
      </c>
      <c r="B35" s="12" t="n">
        <v>0</v>
      </c>
      <c r="C35" s="12" t="n">
        <f aca="false">SUM($B$34:B35)</f>
        <v>1</v>
      </c>
      <c r="D35" s="17" t="n">
        <f aca="false">B35/SUM($B$34:$B$40)</f>
        <v>0</v>
      </c>
    </row>
    <row r="36" customFormat="false" ht="15" hidden="false" customHeight="true" outlineLevel="0" collapsed="false">
      <c r="A36" s="12" t="n">
        <v>80</v>
      </c>
      <c r="B36" s="12" t="n">
        <v>0</v>
      </c>
      <c r="C36" s="12" t="n">
        <f aca="false">SUM($B$34:B36)</f>
        <v>1</v>
      </c>
      <c r="D36" s="17" t="n">
        <f aca="false">B36/SUM($B$34:$B$40)</f>
        <v>0</v>
      </c>
    </row>
    <row r="37" customFormat="false" ht="15" hidden="false" customHeight="true" outlineLevel="0" collapsed="false">
      <c r="A37" s="12" t="n">
        <v>85</v>
      </c>
      <c r="B37" s="12" t="n">
        <v>0</v>
      </c>
      <c r="C37" s="12" t="n">
        <f aca="false">SUM($B$34:B37)</f>
        <v>1</v>
      </c>
      <c r="D37" s="17" t="n">
        <f aca="false">B37/SUM($B$34:$B$40)</f>
        <v>0</v>
      </c>
    </row>
    <row r="38" customFormat="false" ht="15" hidden="false" customHeight="true" outlineLevel="0" collapsed="false">
      <c r="A38" s="12" t="n">
        <v>90</v>
      </c>
      <c r="B38" s="12" t="n">
        <v>4</v>
      </c>
      <c r="C38" s="12" t="n">
        <f aca="false">SUM($B$34:B38)</f>
        <v>5</v>
      </c>
      <c r="D38" s="17" t="n">
        <f aca="false">B38/SUM($B$34:$B$40)</f>
        <v>0.2</v>
      </c>
    </row>
    <row r="39" customFormat="false" ht="15" hidden="false" customHeight="true" outlineLevel="0" collapsed="false">
      <c r="A39" s="12" t="n">
        <v>95</v>
      </c>
      <c r="B39" s="12" t="n">
        <v>6</v>
      </c>
      <c r="C39" s="12" t="n">
        <f aca="false">SUM($B$34:B39)</f>
        <v>11</v>
      </c>
      <c r="D39" s="17" t="n">
        <f aca="false">B39/SUM($B$34:$B$40)</f>
        <v>0.3</v>
      </c>
    </row>
    <row r="40" customFormat="false" ht="15" hidden="false" customHeight="true" outlineLevel="0" collapsed="false">
      <c r="A40" s="12" t="n">
        <v>100</v>
      </c>
      <c r="B40" s="12" t="n">
        <v>9</v>
      </c>
      <c r="C40" s="12" t="n">
        <f aca="false">SUM($B$34:B40)</f>
        <v>20</v>
      </c>
      <c r="D40" s="17" t="n">
        <f aca="false">B40/SUM($B$34:$B$40)</f>
        <v>0.45</v>
      </c>
    </row>
  </sheetData>
  <mergeCells count="3">
    <mergeCell ref="A1:G1"/>
    <mergeCell ref="A25:D25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5"/>
  </cols>
  <sheetData>
    <row r="1" customFormat="false" ht="24.75" hidden="false" customHeight="true" outlineLevel="0" collapsed="false">
      <c r="A1" s="2" t="s">
        <v>37</v>
      </c>
      <c r="B1" s="2"/>
      <c r="C1" s="2"/>
      <c r="D1" s="2"/>
      <c r="E1" s="2"/>
    </row>
    <row r="2" customFormat="false" ht="15" hidden="false" customHeight="true" outlineLevel="0" collapsed="false">
      <c r="A2" s="14" t="s">
        <v>38</v>
      </c>
      <c r="B2" s="14"/>
      <c r="C2" s="14"/>
    </row>
    <row r="3" customFormat="false" ht="15" hidden="false" customHeight="true" outlineLevel="0" collapsed="false">
      <c r="A3" s="3" t="s">
        <v>39</v>
      </c>
      <c r="B3" s="3" t="s">
        <v>40</v>
      </c>
    </row>
    <row r="4" customFormat="false" ht="15" hidden="false" customHeight="true" outlineLevel="0" collapsed="false">
      <c r="A4" s="18" t="n">
        <v>1</v>
      </c>
      <c r="B4" s="18" t="n">
        <v>12</v>
      </c>
    </row>
    <row r="5" customFormat="false" ht="15" hidden="false" customHeight="true" outlineLevel="0" collapsed="false">
      <c r="A5" s="19" t="n">
        <v>2</v>
      </c>
      <c r="B5" s="19" t="n">
        <v>12</v>
      </c>
    </row>
    <row r="6" customFormat="false" ht="15" hidden="false" customHeight="true" outlineLevel="0" collapsed="false">
      <c r="A6" s="18" t="n">
        <v>3</v>
      </c>
      <c r="B6" s="18" t="n">
        <v>13</v>
      </c>
    </row>
    <row r="7" customFormat="false" ht="15" hidden="false" customHeight="true" outlineLevel="0" collapsed="false">
      <c r="A7" s="19" t="n">
        <v>4</v>
      </c>
      <c r="B7" s="19" t="n">
        <v>23</v>
      </c>
    </row>
    <row r="8" customFormat="false" ht="15" hidden="false" customHeight="true" outlineLevel="0" collapsed="false">
      <c r="A8" s="18" t="n">
        <v>5</v>
      </c>
      <c r="B8" s="18" t="n">
        <v>35</v>
      </c>
    </row>
    <row r="9" customFormat="false" ht="15" hidden="false" customHeight="true" outlineLevel="0" collapsed="false">
      <c r="A9" s="19" t="n">
        <v>6</v>
      </c>
      <c r="B9" s="19" t="n">
        <v>43</v>
      </c>
    </row>
    <row r="10" customFormat="false" ht="15" hidden="false" customHeight="true" outlineLevel="0" collapsed="false">
      <c r="A10" s="18" t="n">
        <v>7</v>
      </c>
      <c r="B10" s="18" t="n">
        <v>32</v>
      </c>
    </row>
    <row r="11" customFormat="false" ht="15" hidden="false" customHeight="true" outlineLevel="0" collapsed="false">
      <c r="A11" s="19" t="n">
        <v>8</v>
      </c>
      <c r="B11" s="19" t="n">
        <v>33</v>
      </c>
    </row>
    <row r="12" customFormat="false" ht="15" hidden="false" customHeight="true" outlineLevel="0" collapsed="false">
      <c r="A12" s="18" t="n">
        <v>9</v>
      </c>
      <c r="B12" s="18" t="n">
        <v>23</v>
      </c>
    </row>
    <row r="13" customFormat="false" ht="15" hidden="false" customHeight="true" outlineLevel="0" collapsed="false">
      <c r="A13" s="19" t="n">
        <v>10</v>
      </c>
      <c r="B13" s="19" t="n">
        <v>13</v>
      </c>
    </row>
    <row r="14" customFormat="false" ht="15" hidden="false" customHeight="true" outlineLevel="0" collapsed="false">
      <c r="A14" s="18" t="n">
        <v>11</v>
      </c>
      <c r="B14" s="18" t="n">
        <v>14</v>
      </c>
    </row>
    <row r="15" customFormat="false" ht="15" hidden="false" customHeight="true" outlineLevel="0" collapsed="false">
      <c r="A15" s="19" t="n">
        <v>12</v>
      </c>
      <c r="B15" s="19" t="n">
        <v>18</v>
      </c>
    </row>
    <row r="16" customFormat="false" ht="15" hidden="false" customHeight="true" outlineLevel="0" collapsed="false">
      <c r="A16" s="18" t="n">
        <v>13</v>
      </c>
      <c r="B16" s="18" t="n">
        <v>45</v>
      </c>
    </row>
    <row r="17" customFormat="false" ht="15" hidden="false" customHeight="true" outlineLevel="0" collapsed="false">
      <c r="A17" s="19" t="n">
        <v>14</v>
      </c>
      <c r="B17" s="19" t="n">
        <v>47</v>
      </c>
    </row>
    <row r="18" customFormat="false" ht="15" hidden="false" customHeight="true" outlineLevel="0" collapsed="false">
      <c r="A18" s="18" t="n">
        <v>15</v>
      </c>
      <c r="B18" s="18" t="n">
        <v>49</v>
      </c>
    </row>
    <row r="20" customFormat="false" ht="15" hidden="false" customHeight="true" outlineLevel="0" collapsed="false">
      <c r="A20" s="14" t="s">
        <v>41</v>
      </c>
      <c r="B20" s="14"/>
      <c r="C20" s="14"/>
    </row>
    <row r="21" customFormat="false" ht="15" hidden="false" customHeight="true" outlineLevel="0" collapsed="false">
      <c r="A21" s="15" t="s">
        <v>42</v>
      </c>
      <c r="B21" s="12" t="n">
        <f aca="false">MAX(B4:B19)</f>
        <v>49</v>
      </c>
    </row>
    <row r="22" customFormat="false" ht="15" hidden="false" customHeight="true" outlineLevel="0" collapsed="false">
      <c r="A22" s="15" t="s">
        <v>43</v>
      </c>
      <c r="B22" s="12" t="n">
        <f aca="false">MIN(B4:B20)</f>
        <v>12</v>
      </c>
    </row>
    <row r="23" customFormat="false" ht="15" hidden="false" customHeight="true" outlineLevel="0" collapsed="false">
      <c r="A23" s="15" t="s">
        <v>44</v>
      </c>
      <c r="B23" s="12" t="n">
        <f aca="false">COUNT(B4:B21)</f>
        <v>16</v>
      </c>
    </row>
    <row r="24" customFormat="false" ht="15" hidden="false" customHeight="true" outlineLevel="0" collapsed="false">
      <c r="A24" s="15" t="s">
        <v>45</v>
      </c>
      <c r="B24" s="20" t="n">
        <f aca="false">AVERAGE(B4:B22)</f>
        <v>27.8235294117647</v>
      </c>
    </row>
    <row r="26" customFormat="false" ht="15" hidden="false" customHeight="true" outlineLevel="0" collapsed="false">
      <c r="A26" s="14" t="s">
        <v>46</v>
      </c>
      <c r="B26" s="14"/>
      <c r="C26" s="14"/>
      <c r="D26" s="14"/>
    </row>
    <row r="27" customFormat="false" ht="15" hidden="false" customHeight="true" outlineLevel="0" collapsed="false">
      <c r="A27" s="3" t="s">
        <v>47</v>
      </c>
      <c r="B27" s="3" t="s">
        <v>48</v>
      </c>
    </row>
    <row r="28" customFormat="false" ht="15" hidden="false" customHeight="true" outlineLevel="0" collapsed="false">
      <c r="A28" s="21" t="n">
        <v>1</v>
      </c>
      <c r="B28" s="4" t="s">
        <v>49</v>
      </c>
    </row>
    <row r="29" customFormat="false" ht="15" hidden="false" customHeight="true" outlineLevel="0" collapsed="false">
      <c r="A29" s="21" t="n">
        <v>2</v>
      </c>
      <c r="B29" s="4" t="s">
        <v>50</v>
      </c>
    </row>
    <row r="30" customFormat="false" ht="15" hidden="false" customHeight="true" outlineLevel="0" collapsed="false">
      <c r="A30" s="21" t="n">
        <v>3</v>
      </c>
      <c r="B30" s="4" t="s">
        <v>51</v>
      </c>
    </row>
    <row r="31" customFormat="false" ht="15" hidden="false" customHeight="true" outlineLevel="0" collapsed="false">
      <c r="A31" s="21" t="n">
        <v>4</v>
      </c>
      <c r="B31" s="4" t="s">
        <v>52</v>
      </c>
    </row>
  </sheetData>
  <mergeCells count="4">
    <mergeCell ref="A1:E1"/>
    <mergeCell ref="A2:C2"/>
    <mergeCell ref="A20:C20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</cols>
  <sheetData>
    <row r="1" customFormat="false" ht="24.7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39</v>
      </c>
      <c r="B2" s="3" t="s">
        <v>54</v>
      </c>
      <c r="C2" s="3" t="s">
        <v>55</v>
      </c>
      <c r="D2" s="3" t="s">
        <v>56</v>
      </c>
    </row>
    <row r="3" customFormat="false" ht="15" hidden="false" customHeight="true" outlineLevel="0" collapsed="false">
      <c r="A3" s="19" t="n">
        <v>1</v>
      </c>
      <c r="B3" s="19" t="n">
        <v>1020</v>
      </c>
      <c r="C3" s="19" t="n">
        <v>840</v>
      </c>
      <c r="D3" s="19" t="n">
        <v>1430</v>
      </c>
    </row>
    <row r="4" customFormat="false" ht="15" hidden="false" customHeight="true" outlineLevel="0" collapsed="false">
      <c r="A4" s="18" t="n">
        <v>2</v>
      </c>
      <c r="B4" s="18" t="n">
        <v>1560</v>
      </c>
      <c r="C4" s="18" t="n">
        <v>940</v>
      </c>
      <c r="D4" s="18" t="n">
        <v>1750</v>
      </c>
    </row>
    <row r="5" customFormat="false" ht="15" hidden="false" customHeight="true" outlineLevel="0" collapsed="false">
      <c r="A5" s="19" t="n">
        <v>3</v>
      </c>
      <c r="B5" s="19" t="n">
        <v>560</v>
      </c>
      <c r="C5" s="19" t="n">
        <v>780</v>
      </c>
      <c r="D5" s="19" t="n">
        <v>870</v>
      </c>
    </row>
    <row r="6" customFormat="false" ht="15" hidden="false" customHeight="true" outlineLevel="0" collapsed="false">
      <c r="A6" s="18" t="n">
        <v>4</v>
      </c>
      <c r="B6" s="18" t="n">
        <v>780</v>
      </c>
      <c r="C6" s="18" t="n">
        <v>650</v>
      </c>
      <c r="D6" s="18" t="n">
        <v>920</v>
      </c>
    </row>
    <row r="7" customFormat="false" ht="15" hidden="false" customHeight="true" outlineLevel="0" collapsed="false">
      <c r="A7" s="19" t="n">
        <v>5</v>
      </c>
      <c r="B7" s="19" t="n">
        <v>990</v>
      </c>
      <c r="C7" s="19" t="n">
        <v>720</v>
      </c>
      <c r="D7" s="19" t="n">
        <v>1300</v>
      </c>
    </row>
    <row r="8" customFormat="false" ht="15" hidden="false" customHeight="true" outlineLevel="0" collapsed="false">
      <c r="A8" s="18" t="n">
        <v>6</v>
      </c>
      <c r="B8" s="18" t="n">
        <v>670</v>
      </c>
      <c r="C8" s="18" t="n">
        <v>430</v>
      </c>
      <c r="D8" s="18" t="n">
        <v>890</v>
      </c>
    </row>
    <row r="9" customFormat="false" ht="15" hidden="false" customHeight="true" outlineLevel="0" collapsed="false">
      <c r="A9" s="19" t="n">
        <v>7</v>
      </c>
      <c r="B9" s="19" t="n">
        <v>510</v>
      </c>
      <c r="C9" s="19" t="n">
        <v>1850</v>
      </c>
      <c r="D9" s="19" t="n">
        <v>740</v>
      </c>
    </row>
    <row r="10" customFormat="false" ht="15" hidden="false" customHeight="true" outlineLevel="0" collapsed="false">
      <c r="A10" s="18" t="n">
        <v>8</v>
      </c>
      <c r="B10" s="18" t="n">
        <v>490</v>
      </c>
      <c r="C10" s="18" t="n">
        <v>300</v>
      </c>
      <c r="D10" s="18" t="n">
        <v>720</v>
      </c>
    </row>
    <row r="11" customFormat="false" ht="15" hidden="false" customHeight="true" outlineLevel="0" collapsed="false">
      <c r="A11" s="19" t="n">
        <v>9</v>
      </c>
      <c r="B11" s="19" t="n">
        <v>380</v>
      </c>
      <c r="C11" s="19" t="n">
        <v>360</v>
      </c>
      <c r="D11" s="19" t="n">
        <v>430</v>
      </c>
    </row>
    <row r="12" customFormat="false" ht="15" hidden="false" customHeight="true" outlineLevel="0" collapsed="false">
      <c r="A12" s="18" t="n">
        <v>10</v>
      </c>
      <c r="B12" s="18" t="n">
        <v>880</v>
      </c>
      <c r="C12" s="18" t="n">
        <v>690</v>
      </c>
      <c r="D12" s="18" t="n">
        <v>1050</v>
      </c>
    </row>
    <row r="15" customFormat="false" ht="15" hidden="false" customHeight="true" outlineLevel="0" collapsed="false">
      <c r="A15" s="14" t="s">
        <v>57</v>
      </c>
      <c r="B15" s="14"/>
      <c r="C15" s="14"/>
      <c r="D15" s="14"/>
    </row>
    <row r="16" customFormat="false" ht="15" hidden="false" customHeight="true" outlineLevel="0" collapsed="false">
      <c r="A16" s="3" t="s">
        <v>58</v>
      </c>
      <c r="B16" s="3" t="s">
        <v>54</v>
      </c>
      <c r="C16" s="3" t="s">
        <v>55</v>
      </c>
      <c r="D16" s="3" t="s">
        <v>56</v>
      </c>
    </row>
    <row r="17" customFormat="false" ht="15" hidden="false" customHeight="true" outlineLevel="0" collapsed="false">
      <c r="A17" s="22" t="s">
        <v>43</v>
      </c>
      <c r="B17" s="23" t="n">
        <f aca="false">MIN(B3:B12)</f>
        <v>380</v>
      </c>
      <c r="C17" s="23" t="n">
        <f aca="false">MIN(C3:C12)</f>
        <v>300</v>
      </c>
      <c r="D17" s="23" t="n">
        <f aca="false">MIN(D3:D12)</f>
        <v>430</v>
      </c>
    </row>
    <row r="18" customFormat="false" ht="15" hidden="false" customHeight="true" outlineLevel="0" collapsed="false">
      <c r="A18" s="22" t="s">
        <v>59</v>
      </c>
      <c r="B18" s="23" t="n">
        <f aca="false">QUARTILE(B3:B12,1)</f>
        <v>522.5</v>
      </c>
      <c r="C18" s="23" t="n">
        <f aca="false">QUARTILE(C3:C12,1)</f>
        <v>485</v>
      </c>
      <c r="D18" s="23" t="n">
        <f aca="false">QUARTILE(D3:D12,1)</f>
        <v>772.5</v>
      </c>
    </row>
    <row r="19" customFormat="false" ht="15" hidden="false" customHeight="true" outlineLevel="0" collapsed="false">
      <c r="A19" s="22" t="s">
        <v>60</v>
      </c>
      <c r="B19" s="23" t="n">
        <f aca="false">MEDIAN(B3:B12)</f>
        <v>725</v>
      </c>
      <c r="C19" s="23" t="n">
        <f aca="false">MEDIAN(C3:C12)</f>
        <v>705</v>
      </c>
      <c r="D19" s="23" t="n">
        <f aca="false">MEDIAN(D3:D12)</f>
        <v>905</v>
      </c>
    </row>
    <row r="20" customFormat="false" ht="15" hidden="false" customHeight="true" outlineLevel="0" collapsed="false">
      <c r="A20" s="22" t="s">
        <v>61</v>
      </c>
      <c r="B20" s="23" t="n">
        <f aca="false">QUARTILE(B3:B12,3)</f>
        <v>962.5</v>
      </c>
      <c r="C20" s="23" t="n">
        <f aca="false">QUARTILE(C3:C12,3)</f>
        <v>825</v>
      </c>
      <c r="D20" s="23" t="n">
        <f aca="false">QUARTILE(D3:D12,3)</f>
        <v>1237.5</v>
      </c>
    </row>
    <row r="21" customFormat="false" ht="15" hidden="false" customHeight="true" outlineLevel="0" collapsed="false">
      <c r="A21" s="22" t="s">
        <v>42</v>
      </c>
      <c r="B21" s="23" t="n">
        <f aca="false">MAX(B3:B12)</f>
        <v>1560</v>
      </c>
      <c r="C21" s="23" t="n">
        <f aca="false">MAX(C3:C12)</f>
        <v>1850</v>
      </c>
      <c r="D21" s="23" t="n">
        <f aca="false">MAX(D3:D12)</f>
        <v>1750</v>
      </c>
    </row>
    <row r="22" customFormat="false" ht="15" hidden="false" customHeight="true" outlineLevel="0" collapsed="false">
      <c r="A22" s="22" t="s">
        <v>62</v>
      </c>
      <c r="B22" s="23" t="n">
        <f aca="false">QUARTILE(B3:B12,3)-QUARTILE(B3:B12,1)</f>
        <v>440</v>
      </c>
      <c r="C22" s="23" t="n">
        <f aca="false">QUARTILE(C3:C12,3)-QUARTILE(C3:C12,1)</f>
        <v>340</v>
      </c>
      <c r="D22" s="23" t="n">
        <f aca="false">QUARTILE(D3:D12,3)-QUARTILE(D3:D12,1)</f>
        <v>465</v>
      </c>
    </row>
    <row r="23" customFormat="false" ht="15" hidden="false" customHeight="true" outlineLevel="0" collapsed="false">
      <c r="A23" s="22" t="s">
        <v>45</v>
      </c>
      <c r="B23" s="23" t="n">
        <f aca="false">AVERAGE(B3:B12)</f>
        <v>784</v>
      </c>
      <c r="C23" s="23" t="n">
        <f aca="false">AVERAGE(C3:C12)</f>
        <v>756</v>
      </c>
      <c r="D23" s="23" t="n">
        <f aca="false">AVERAGE(D3:D12)</f>
        <v>1010</v>
      </c>
    </row>
    <row r="24" customFormat="false" ht="15" hidden="false" customHeight="true" outlineLevel="0" collapsed="false">
      <c r="A24" s="22" t="s">
        <v>63</v>
      </c>
      <c r="B24" s="23" t="n">
        <f aca="false">STDEV(B3:B12)</f>
        <v>349.195901719619</v>
      </c>
      <c r="C24" s="23" t="n">
        <f aca="false">STDEV(C3:C12)</f>
        <v>437.954842928406</v>
      </c>
      <c r="D24" s="23" t="n">
        <f aca="false">STDEV(D3:D12)</f>
        <v>386.609191130613</v>
      </c>
    </row>
  </sheetData>
  <mergeCells count="2">
    <mergeCell ref="A1:J1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8" min="8" style="1" width="20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24.7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H2" s="14" t="s">
        <v>71</v>
      </c>
      <c r="I2" s="14"/>
      <c r="J2" s="14"/>
    </row>
    <row r="3" customFormat="false" ht="15" hidden="false" customHeight="true" outlineLevel="0" collapsed="false">
      <c r="A3" s="18" t="n">
        <v>0</v>
      </c>
      <c r="B3" s="18" t="n">
        <v>5</v>
      </c>
      <c r="C3" s="18" t="n">
        <v>0</v>
      </c>
      <c r="D3" s="6" t="n">
        <f aca="false">BINOMDIST(A3,6,J6,FALSE())</f>
        <v>0.0165764990810938</v>
      </c>
      <c r="E3" s="6" t="n">
        <f aca="false">D3*SUM($B$3:$B$9)</f>
        <v>1.67422640719047</v>
      </c>
      <c r="F3" s="18" t="n">
        <f aca="false">ROUND(E3,0)</f>
        <v>2</v>
      </c>
      <c r="H3" s="3" t="s">
        <v>72</v>
      </c>
      <c r="I3" s="3" t="s">
        <v>73</v>
      </c>
      <c r="J3" s="3" t="s">
        <v>40</v>
      </c>
    </row>
    <row r="4" customFormat="false" ht="15" hidden="false" customHeight="true" outlineLevel="0" collapsed="false">
      <c r="A4" s="19" t="n">
        <v>1</v>
      </c>
      <c r="B4" s="19" t="n">
        <v>12</v>
      </c>
      <c r="C4" s="19" t="n">
        <v>12</v>
      </c>
      <c r="D4" s="9" t="n">
        <f aca="false">BINOMDIST(A4,6,J6,FALSE())</f>
        <v>0.097508818124081</v>
      </c>
      <c r="E4" s="9" t="n">
        <f aca="false">D4*SUM($B$3:$B$9)</f>
        <v>9.84839063053218</v>
      </c>
      <c r="F4" s="19" t="n">
        <f aca="false">ROUND(E4,0)</f>
        <v>10</v>
      </c>
      <c r="H4" s="22" t="s">
        <v>74</v>
      </c>
      <c r="I4" s="19" t="s">
        <v>75</v>
      </c>
      <c r="J4" s="9" t="n">
        <f aca="false">SUM(C3:C9)/SUM(B3:B9)</f>
        <v>2.97029702970297</v>
      </c>
    </row>
    <row r="5" customFormat="false" ht="15" hidden="false" customHeight="true" outlineLevel="0" collapsed="false">
      <c r="A5" s="18" t="n">
        <v>2</v>
      </c>
      <c r="B5" s="18" t="n">
        <v>19</v>
      </c>
      <c r="C5" s="18" t="n">
        <v>38</v>
      </c>
      <c r="D5" s="6" t="n">
        <f aca="false">BINOMDIST(A5,6,J6,FALSE())</f>
        <v>0.238992201284512</v>
      </c>
      <c r="E5" s="6" t="n">
        <f aca="false">D5*SUM($B$3:$B$9)</f>
        <v>24.1382123297357</v>
      </c>
      <c r="F5" s="18" t="n">
        <f aca="false">ROUND(E5,0)</f>
        <v>24</v>
      </c>
      <c r="H5" s="24" t="s">
        <v>76</v>
      </c>
      <c r="I5" s="18" t="s">
        <v>77</v>
      </c>
      <c r="J5" s="6" t="n">
        <v>6</v>
      </c>
    </row>
    <row r="6" customFormat="false" ht="15" hidden="false" customHeight="true" outlineLevel="0" collapsed="false">
      <c r="A6" s="19" t="n">
        <v>3</v>
      </c>
      <c r="B6" s="19" t="n">
        <v>28</v>
      </c>
      <c r="C6" s="19" t="n">
        <v>84</v>
      </c>
      <c r="D6" s="9" t="n">
        <f aca="false">BINOMDIST(A6,6,J6,FALSE())</f>
        <v>0.312408106254264</v>
      </c>
      <c r="E6" s="9" t="n">
        <f aca="false">D6*SUM($B$3:$B$9)</f>
        <v>31.5532187316807</v>
      </c>
      <c r="F6" s="19" t="n">
        <f aca="false">ROUND(E6,0)</f>
        <v>32</v>
      </c>
      <c r="H6" s="22" t="s">
        <v>78</v>
      </c>
      <c r="I6" s="19" t="s">
        <v>79</v>
      </c>
      <c r="J6" s="6" t="n">
        <f aca="false">J4/J5</f>
        <v>0.495049504950495</v>
      </c>
    </row>
    <row r="7" customFormat="false" ht="15" hidden="false" customHeight="true" outlineLevel="0" collapsed="false">
      <c r="A7" s="18" t="n">
        <v>4</v>
      </c>
      <c r="B7" s="18" t="n">
        <v>21</v>
      </c>
      <c r="C7" s="18" t="n">
        <v>84</v>
      </c>
      <c r="D7" s="6" t="n">
        <f aca="false">BINOMDIST(A7,6,J6,FALSE())</f>
        <v>0.229711842834018</v>
      </c>
      <c r="E7" s="6" t="n">
        <f aca="false">D7*SUM($B$3:$B$9)</f>
        <v>23.2008961262358</v>
      </c>
      <c r="F7" s="18" t="n">
        <f aca="false">ROUND(E7,0)</f>
        <v>23</v>
      </c>
      <c r="H7" s="24" t="s">
        <v>80</v>
      </c>
      <c r="I7" s="18" t="s">
        <v>81</v>
      </c>
      <c r="J7" s="6" t="n">
        <f aca="false">1-J5</f>
        <v>-5</v>
      </c>
    </row>
    <row r="8" customFormat="false" ht="15" hidden="false" customHeight="true" outlineLevel="0" collapsed="false">
      <c r="A8" s="19" t="n">
        <v>5</v>
      </c>
      <c r="B8" s="19" t="n">
        <v>14</v>
      </c>
      <c r="C8" s="19" t="n">
        <v>70</v>
      </c>
      <c r="D8" s="9" t="n">
        <f aca="false">BINOMDIST(A8,6,J6,FALSE())</f>
        <v>0.0900830756211835</v>
      </c>
      <c r="E8" s="9" t="n">
        <f aca="false">D8*SUM($B$3:$B$9)</f>
        <v>9.09839063773954</v>
      </c>
      <c r="F8" s="19" t="n">
        <f aca="false">ROUND(E8,0)</f>
        <v>9</v>
      </c>
      <c r="H8" s="22" t="s">
        <v>82</v>
      </c>
      <c r="I8" s="19" t="s">
        <v>83</v>
      </c>
      <c r="J8" s="9" t="n">
        <f aca="false">CHITEST(B3:B9,F3:F9)</f>
        <v>0.109034616057223</v>
      </c>
    </row>
    <row r="9" customFormat="false" ht="15" hidden="false" customHeight="true" outlineLevel="0" collapsed="false">
      <c r="A9" s="18" t="n">
        <v>6</v>
      </c>
      <c r="B9" s="18" t="n">
        <v>2</v>
      </c>
      <c r="C9" s="18" t="n">
        <v>12</v>
      </c>
      <c r="D9" s="6" t="n">
        <f aca="false">BINOMDIST(A9,6,J6,FALSE())</f>
        <v>0.014719456800847</v>
      </c>
      <c r="E9" s="6" t="n">
        <f aca="false">D9*SUM($B$3:$B$9)</f>
        <v>1.48666513688555</v>
      </c>
      <c r="F9" s="18" t="n">
        <f aca="false">ROUND(E9,0)</f>
        <v>1</v>
      </c>
    </row>
    <row r="10" customFormat="false" ht="15" hidden="false" customHeight="true" outlineLevel="0" collapsed="false">
      <c r="A10" s="10" t="s">
        <v>84</v>
      </c>
      <c r="B10" s="10" t="n">
        <f aca="false">SUM(B3:B9)</f>
        <v>101</v>
      </c>
      <c r="C10" s="10" t="n">
        <f aca="false">SUM(C3:C9)</f>
        <v>300</v>
      </c>
      <c r="D10" s="12"/>
      <c r="E10" s="13" t="n">
        <f aca="false">SUM(E3:E9)</f>
        <v>101</v>
      </c>
      <c r="F10" s="10" t="n">
        <f aca="false">SUM(F3:F9)</f>
        <v>101</v>
      </c>
    </row>
  </sheetData>
  <mergeCells count="2">
    <mergeCell ref="A1:G1"/>
    <mergeCell ref="H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24.75" hidden="false" customHeight="true" outlineLevel="0" collapsed="false">
      <c r="A1" s="2" t="s">
        <v>85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86</v>
      </c>
      <c r="B2" s="3" t="s">
        <v>87</v>
      </c>
      <c r="C2" s="3" t="s">
        <v>67</v>
      </c>
      <c r="D2" s="3" t="s">
        <v>68</v>
      </c>
      <c r="E2" s="3" t="s">
        <v>69</v>
      </c>
      <c r="F2" s="3" t="s">
        <v>70</v>
      </c>
      <c r="H2" s="14" t="s">
        <v>71</v>
      </c>
      <c r="I2" s="14"/>
      <c r="J2" s="14"/>
    </row>
    <row r="3" customFormat="false" ht="15" hidden="false" customHeight="true" outlineLevel="0" collapsed="false">
      <c r="A3" s="18" t="n">
        <v>0</v>
      </c>
      <c r="B3" s="18" t="n">
        <v>19</v>
      </c>
      <c r="C3" s="18" t="n">
        <v>0</v>
      </c>
      <c r="D3" s="6" t="n">
        <f aca="false">POISSON(A3,J4,FALSE())</f>
        <v>0.367879441171442</v>
      </c>
      <c r="E3" s="6" t="n">
        <f aca="false">D3*SUM($B$3:$B$7)</f>
        <v>18.3939720585721</v>
      </c>
      <c r="F3" s="18" t="n">
        <f aca="false">ROUND(E3,0)</f>
        <v>18</v>
      </c>
      <c r="H3" s="3" t="s">
        <v>72</v>
      </c>
      <c r="I3" s="3" t="s">
        <v>73</v>
      </c>
      <c r="J3" s="3" t="s">
        <v>40</v>
      </c>
    </row>
    <row r="4" customFormat="false" ht="15" hidden="false" customHeight="true" outlineLevel="0" collapsed="false">
      <c r="A4" s="19" t="n">
        <v>1</v>
      </c>
      <c r="B4" s="19" t="n">
        <v>18</v>
      </c>
      <c r="C4" s="19" t="n">
        <v>18</v>
      </c>
      <c r="D4" s="9" t="n">
        <f aca="false">POISSON(A4,J4,FALSE())</f>
        <v>0.367879441171442</v>
      </c>
      <c r="E4" s="9" t="n">
        <f aca="false">D4*SUM($B$3:$B$7)</f>
        <v>18.3939720585721</v>
      </c>
      <c r="F4" s="19" t="n">
        <f aca="false">ROUND(E4,0)</f>
        <v>18</v>
      </c>
      <c r="H4" s="22" t="s">
        <v>88</v>
      </c>
      <c r="I4" s="19" t="s">
        <v>89</v>
      </c>
      <c r="J4" s="9" t="n">
        <f aca="false">SUM(C3:C7)/SUM(B3:B7)</f>
        <v>1</v>
      </c>
    </row>
    <row r="5" customFormat="false" ht="15" hidden="false" customHeight="true" outlineLevel="0" collapsed="false">
      <c r="A5" s="18" t="n">
        <v>2</v>
      </c>
      <c r="B5" s="18" t="n">
        <v>8</v>
      </c>
      <c r="C5" s="18" t="n">
        <v>16</v>
      </c>
      <c r="D5" s="6" t="n">
        <f aca="false">POISSON(A5,J4,FALSE())</f>
        <v>0.183939720585721</v>
      </c>
      <c r="E5" s="6" t="n">
        <f aca="false">D5*SUM($B$3:$B$7)</f>
        <v>9.19698602928606</v>
      </c>
      <c r="F5" s="18" t="n">
        <f aca="false">ROUND(E5,0)</f>
        <v>9</v>
      </c>
      <c r="H5" s="24" t="s">
        <v>90</v>
      </c>
      <c r="I5" s="18" t="s">
        <v>91</v>
      </c>
      <c r="J5" s="6" t="n">
        <f aca="false">SUM(B3:B7)</f>
        <v>50</v>
      </c>
    </row>
    <row r="6" customFormat="false" ht="15" hidden="false" customHeight="true" outlineLevel="0" collapsed="false">
      <c r="A6" s="19" t="n">
        <v>3</v>
      </c>
      <c r="B6" s="19" t="n">
        <v>4</v>
      </c>
      <c r="C6" s="19" t="n">
        <v>12</v>
      </c>
      <c r="D6" s="9" t="n">
        <f aca="false">POISSON(A6,J4,FALSE())</f>
        <v>0.0613132401952404</v>
      </c>
      <c r="E6" s="9" t="n">
        <f aca="false">D6*SUM($B$3:$B$7)</f>
        <v>3.06566200976202</v>
      </c>
      <c r="F6" s="19" t="n">
        <f aca="false">ROUND(E6,0)</f>
        <v>3</v>
      </c>
      <c r="H6" s="22" t="s">
        <v>82</v>
      </c>
      <c r="I6" s="19" t="s">
        <v>83</v>
      </c>
      <c r="J6" s="9" t="n">
        <f aca="false">CHITEST(B3:B7,F3:F7)</f>
        <v>0.973500978839256</v>
      </c>
    </row>
    <row r="7" customFormat="false" ht="15" hidden="false" customHeight="true" outlineLevel="0" collapsed="false">
      <c r="A7" s="18" t="n">
        <v>4</v>
      </c>
      <c r="B7" s="18" t="n">
        <v>1</v>
      </c>
      <c r="C7" s="18" t="n">
        <v>4</v>
      </c>
      <c r="D7" s="6" t="n">
        <f aca="false">POISSON(A7,J4,FALSE())</f>
        <v>0.0153283100488101</v>
      </c>
      <c r="E7" s="6" t="n">
        <f aca="false">D7*SUM($B$3:$B$7)</f>
        <v>0.766415502440505</v>
      </c>
      <c r="F7" s="18" t="n">
        <f aca="false">ROUND(E7,0)</f>
        <v>1</v>
      </c>
    </row>
    <row r="9" customFormat="false" ht="15" hidden="false" customHeight="true" outlineLevel="0" collapsed="false">
      <c r="A9" s="10" t="s">
        <v>84</v>
      </c>
      <c r="B9" s="10" t="n">
        <f aca="false">SUM(B3:B7)</f>
        <v>50</v>
      </c>
      <c r="C9" s="10" t="n">
        <f aca="false">SUM(C3:C7)</f>
        <v>50</v>
      </c>
      <c r="D9" s="12"/>
      <c r="E9" s="13" t="n">
        <f aca="false">SUM(E3:E7)</f>
        <v>49.8170076586328</v>
      </c>
      <c r="F9" s="10" t="n">
        <f aca="false">SUM(F3:F7)</f>
        <v>49</v>
      </c>
    </row>
  </sheetData>
  <mergeCells count="2">
    <mergeCell ref="A1:G1"/>
    <mergeCell ref="H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5" min="3" style="1" width="10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10" min="10" style="1" width="20"/>
    <col collapsed="false" customWidth="true" hidden="false" outlineLevel="0" max="11" min="11" style="1" width="18"/>
    <col collapsed="false" customWidth="true" hidden="false" outlineLevel="0" max="12" min="12" style="1" width="12"/>
  </cols>
  <sheetData>
    <row r="1" customFormat="false" ht="24.75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J2" s="14" t="s">
        <v>101</v>
      </c>
      <c r="K2" s="14"/>
      <c r="L2" s="14"/>
    </row>
    <row r="3" customFormat="false" ht="15" hidden="false" customHeight="true" outlineLevel="0" collapsed="false">
      <c r="A3" s="18" t="n">
        <v>10</v>
      </c>
      <c r="B3" s="18" t="n">
        <v>5</v>
      </c>
      <c r="C3" s="25" t="n">
        <f aca="false">A3^2</f>
        <v>100</v>
      </c>
      <c r="D3" s="25" t="n">
        <f aca="false">B3^2</f>
        <v>25</v>
      </c>
      <c r="E3" s="25" t="n">
        <f aca="false">A3*B3</f>
        <v>50</v>
      </c>
      <c r="F3" s="6" t="n">
        <f aca="false">INTERCEPT($B$3:$B$7,$A$3:$A$7)+SLOPE($B$3:$B$7,$A$3:$A$7)*A3</f>
        <v>7.2</v>
      </c>
      <c r="G3" s="6" t="n">
        <f aca="false">(B3-F3)^2</f>
        <v>4.84</v>
      </c>
      <c r="H3" s="6" t="n">
        <f aca="false">B3-F3</f>
        <v>-2.2</v>
      </c>
      <c r="J3" s="3" t="s">
        <v>58</v>
      </c>
      <c r="K3" s="3" t="s">
        <v>102</v>
      </c>
      <c r="L3" s="3" t="s">
        <v>40</v>
      </c>
    </row>
    <row r="4" customFormat="false" ht="15" hidden="false" customHeight="true" outlineLevel="0" collapsed="false">
      <c r="A4" s="19" t="n">
        <v>20</v>
      </c>
      <c r="B4" s="19" t="n">
        <v>7</v>
      </c>
      <c r="C4" s="26" t="n">
        <f aca="false">A4^2</f>
        <v>400</v>
      </c>
      <c r="D4" s="26" t="n">
        <f aca="false">B4^2</f>
        <v>49</v>
      </c>
      <c r="E4" s="26" t="n">
        <f aca="false">A4*B4</f>
        <v>140</v>
      </c>
      <c r="F4" s="9" t="n">
        <f aca="false">INTERCEPT($B$3:$B$7,$A$3:$A$7)+SLOPE($B$3:$B$7,$A$3:$A$7)*A4</f>
        <v>6.7</v>
      </c>
      <c r="G4" s="9" t="n">
        <f aca="false">(B4-F4)^2</f>
        <v>0.0899999999999999</v>
      </c>
      <c r="H4" s="9" t="n">
        <f aca="false">B4-F4</f>
        <v>0.3</v>
      </c>
      <c r="J4" s="22" t="s">
        <v>77</v>
      </c>
      <c r="K4" s="19" t="s">
        <v>103</v>
      </c>
      <c r="L4" s="9" t="n">
        <v>5</v>
      </c>
    </row>
    <row r="5" customFormat="false" ht="15" hidden="false" customHeight="true" outlineLevel="0" collapsed="false">
      <c r="A5" s="18" t="n">
        <v>30</v>
      </c>
      <c r="B5" s="18" t="n">
        <v>9</v>
      </c>
      <c r="C5" s="25" t="n">
        <f aca="false">A5^2</f>
        <v>900</v>
      </c>
      <c r="D5" s="25" t="n">
        <f aca="false">B5^2</f>
        <v>81</v>
      </c>
      <c r="E5" s="25" t="n">
        <f aca="false">A5*B5</f>
        <v>270</v>
      </c>
      <c r="F5" s="6" t="n">
        <f aca="false">INTERCEPT($B$3:$B$7,$A$3:$A$7)+SLOPE($B$3:$B$7,$A$3:$A$7)*A5</f>
        <v>6.2</v>
      </c>
      <c r="G5" s="6" t="n">
        <f aca="false">(B5-F5)^2</f>
        <v>7.84</v>
      </c>
      <c r="H5" s="6" t="n">
        <f aca="false">B5-F5</f>
        <v>2.8</v>
      </c>
      <c r="J5" s="24" t="s">
        <v>104</v>
      </c>
      <c r="K5" s="18" t="n">
        <f aca="false">SUM(A3:A7)</f>
        <v>150</v>
      </c>
      <c r="L5" s="6" t="n">
        <f aca="false">SUM(A3:A7)</f>
        <v>150</v>
      </c>
    </row>
    <row r="6" customFormat="false" ht="15" hidden="false" customHeight="true" outlineLevel="0" collapsed="false">
      <c r="A6" s="19" t="n">
        <v>40</v>
      </c>
      <c r="B6" s="19" t="n">
        <v>8</v>
      </c>
      <c r="C6" s="26" t="n">
        <f aca="false">A6^2</f>
        <v>1600</v>
      </c>
      <c r="D6" s="26" t="n">
        <f aca="false">B6^2</f>
        <v>64</v>
      </c>
      <c r="E6" s="26" t="n">
        <f aca="false">A6*B6</f>
        <v>320</v>
      </c>
      <c r="F6" s="9" t="n">
        <f aca="false">INTERCEPT($B$3:$B$7,$A$3:$A$7)+SLOPE($B$3:$B$7,$A$3:$A$7)*A6</f>
        <v>5.7</v>
      </c>
      <c r="G6" s="9" t="n">
        <f aca="false">(B6-F6)^2</f>
        <v>5.29</v>
      </c>
      <c r="H6" s="9" t="n">
        <f aca="false">B6-F6</f>
        <v>2.3</v>
      </c>
      <c r="J6" s="22" t="s">
        <v>105</v>
      </c>
      <c r="K6" s="19" t="n">
        <f aca="false">SUM(B3:B7)</f>
        <v>31</v>
      </c>
      <c r="L6" s="9" t="n">
        <f aca="false">SUM(B3:B7)</f>
        <v>31</v>
      </c>
    </row>
    <row r="7" customFormat="false" ht="15" hidden="false" customHeight="true" outlineLevel="0" collapsed="false">
      <c r="A7" s="18" t="n">
        <v>50</v>
      </c>
      <c r="B7" s="18" t="n">
        <v>2</v>
      </c>
      <c r="C7" s="25" t="n">
        <f aca="false">A7^2</f>
        <v>2500</v>
      </c>
      <c r="D7" s="25" t="n">
        <f aca="false">B7^2</f>
        <v>4</v>
      </c>
      <c r="E7" s="25" t="n">
        <f aca="false">A7*B7</f>
        <v>100</v>
      </c>
      <c r="F7" s="6" t="n">
        <f aca="false">INTERCEPT($B$3:$B$7,$A$3:$A$7)+SLOPE($B$3:$B$7,$A$3:$A$7)*A7</f>
        <v>5.2</v>
      </c>
      <c r="G7" s="6" t="n">
        <f aca="false">(B7-F7)^2</f>
        <v>10.24</v>
      </c>
      <c r="H7" s="6" t="n">
        <f aca="false">B7-F7</f>
        <v>-3.2</v>
      </c>
      <c r="J7" s="24" t="s">
        <v>106</v>
      </c>
      <c r="K7" s="18" t="n">
        <f aca="false">SUM(E3:E7)</f>
        <v>880</v>
      </c>
      <c r="L7" s="6" t="n">
        <f aca="false">SUM(E3:E7)</f>
        <v>880</v>
      </c>
    </row>
    <row r="8" customFormat="false" ht="15" hidden="false" customHeight="true" outlineLevel="0" collapsed="false">
      <c r="J8" s="22" t="s">
        <v>107</v>
      </c>
      <c r="K8" s="19" t="n">
        <f aca="false">SUM(C3:C7)</f>
        <v>5500</v>
      </c>
      <c r="L8" s="9" t="n">
        <f aca="false">SUM(C3:C7)</f>
        <v>5500</v>
      </c>
    </row>
    <row r="9" customFormat="false" ht="15" hidden="false" customHeight="true" outlineLevel="0" collapsed="false">
      <c r="A9" s="27" t="n">
        <f aca="false">SUM(A3:A7)</f>
        <v>150</v>
      </c>
      <c r="B9" s="27" t="n">
        <f aca="false">SUM(B3:B7)</f>
        <v>31</v>
      </c>
      <c r="C9" s="27" t="n">
        <f aca="false">SUM(C3:C7)</f>
        <v>5500</v>
      </c>
      <c r="D9" s="27" t="n">
        <f aca="false">SUM(D3:D7)</f>
        <v>223</v>
      </c>
      <c r="E9" s="27" t="n">
        <f aca="false">SUM(E3:E7)</f>
        <v>880</v>
      </c>
      <c r="G9" s="27" t="n">
        <f aca="false">SUM(G3:G7)</f>
        <v>28.3</v>
      </c>
      <c r="J9" s="24" t="s">
        <v>108</v>
      </c>
      <c r="K9" s="18" t="n">
        <f aca="false">(5*K7-K5*K6)/(5*K8-K5^2)</f>
        <v>-0.05</v>
      </c>
      <c r="L9" s="6" t="n">
        <f aca="false">SLOPE(B3:B7,A3:A7)</f>
        <v>-0.05</v>
      </c>
    </row>
    <row r="10" customFormat="false" ht="15" hidden="false" customHeight="true" outlineLevel="0" collapsed="false">
      <c r="J10" s="22" t="s">
        <v>109</v>
      </c>
      <c r="K10" s="19" t="n">
        <f aca="false">(K6-K9*K5)/5</f>
        <v>7.7</v>
      </c>
      <c r="L10" s="9" t="n">
        <f aca="false">INTERCEPT(B3:B7,A3:A7)</f>
        <v>7.7</v>
      </c>
    </row>
    <row r="11" customFormat="false" ht="15" hidden="false" customHeight="true" outlineLevel="0" collapsed="false">
      <c r="J11" s="24" t="s">
        <v>110</v>
      </c>
      <c r="K11" s="18" t="n">
        <f aca="false">CORREL(A3:A7,B3:B7)</f>
        <v>-0.284901441149095</v>
      </c>
      <c r="L11" s="6" t="n">
        <f aca="false">CORREL(A3:A7,B3:B7)</f>
        <v>-0.284901441149095</v>
      </c>
    </row>
    <row r="12" customFormat="false" ht="15" hidden="false" customHeight="true" outlineLevel="0" collapsed="false">
      <c r="J12" s="22" t="s">
        <v>111</v>
      </c>
      <c r="K12" s="19" t="n">
        <f aca="false">K11^2</f>
        <v>0.0811688311688311</v>
      </c>
      <c r="L12" s="9" t="n">
        <f aca="false">L11^2</f>
        <v>0.0811688311688311</v>
      </c>
    </row>
    <row r="13" customFormat="false" ht="15" hidden="false" customHeight="true" outlineLevel="0" collapsed="false">
      <c r="J13" s="24" t="s">
        <v>112</v>
      </c>
      <c r="K13" s="18" t="n">
        <f aca="false">SUM(G3:G7)</f>
        <v>28.3</v>
      </c>
      <c r="L13" s="6" t="n">
        <f aca="false">SUM(G3:G7)</f>
        <v>28.3</v>
      </c>
    </row>
    <row r="15" customFormat="false" ht="15" hidden="false" customHeight="true" outlineLevel="0" collapsed="false">
      <c r="J15" s="14" t="s">
        <v>113</v>
      </c>
      <c r="K15" s="14"/>
      <c r="L15" s="14"/>
    </row>
  </sheetData>
  <mergeCells count="3">
    <mergeCell ref="A1:H1"/>
    <mergeCell ref="J2:L2"/>
    <mergeCell ref="J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8"/>
    <col collapsed="false" customWidth="true" hidden="false" outlineLevel="0" max="5" min="4" style="1" width="1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10" min="10" style="1" width="22"/>
    <col collapsed="false" customWidth="true" hidden="false" outlineLevel="0" max="11" min="11" style="1" width="10"/>
    <col collapsed="false" customWidth="true" hidden="false" outlineLevel="0" max="12" min="12" style="1" width="12"/>
  </cols>
  <sheetData>
    <row r="1" customFormat="false" ht="24.75" hidden="false" customHeight="true" outlineLevel="0" collapsed="false">
      <c r="A1" s="2" t="s">
        <v>114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39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J2" s="14" t="s">
        <v>122</v>
      </c>
      <c r="K2" s="14"/>
      <c r="L2" s="14"/>
    </row>
    <row r="3" customFormat="false" ht="15" hidden="false" customHeight="true" outlineLevel="0" collapsed="false">
      <c r="A3" s="18" t="n">
        <v>1</v>
      </c>
      <c r="B3" s="18" t="n">
        <v>8</v>
      </c>
      <c r="C3" s="18" t="n">
        <v>4</v>
      </c>
      <c r="D3" s="6" t="n">
        <f aca="false">(B3-$L$4)/$L$6</f>
        <v>0.59059616300074</v>
      </c>
      <c r="E3" s="6" t="n">
        <f aca="false">(C3-$L$5)/$L$7</f>
        <v>-0.682932471869367</v>
      </c>
      <c r="F3" s="6" t="n">
        <f aca="false">D3*E3</f>
        <v>-0.403337297474658</v>
      </c>
      <c r="G3" s="6" t="n">
        <f aca="false">(B3-$L$4)^2</f>
        <v>3.24</v>
      </c>
      <c r="H3" s="6" t="n">
        <f aca="false">(C3-$L$5)^2</f>
        <v>10.24</v>
      </c>
      <c r="J3" s="3" t="s">
        <v>58</v>
      </c>
      <c r="K3" s="3" t="s">
        <v>73</v>
      </c>
      <c r="L3" s="3" t="s">
        <v>40</v>
      </c>
    </row>
    <row r="4" customFormat="false" ht="15" hidden="false" customHeight="true" outlineLevel="0" collapsed="false">
      <c r="A4" s="19" t="n">
        <v>2</v>
      </c>
      <c r="B4" s="19" t="n">
        <v>3</v>
      </c>
      <c r="C4" s="19" t="n">
        <v>12</v>
      </c>
      <c r="D4" s="9" t="n">
        <f aca="false">(B4-$L$4)/$L$6</f>
        <v>-1.04994873422354</v>
      </c>
      <c r="E4" s="9" t="n">
        <f aca="false">(C4-$L$5)/$L$7</f>
        <v>1.02439870780405</v>
      </c>
      <c r="F4" s="9" t="n">
        <f aca="false">D4*E4</f>
        <v>-1.07556612659909</v>
      </c>
      <c r="G4" s="9" t="n">
        <f aca="false">(B4-$L$4)^2</f>
        <v>10.24</v>
      </c>
      <c r="H4" s="9" t="n">
        <f aca="false">(C4-$L$5)^2</f>
        <v>23.04</v>
      </c>
      <c r="J4" s="22" t="s">
        <v>123</v>
      </c>
      <c r="K4" s="19" t="s">
        <v>124</v>
      </c>
      <c r="L4" s="9" t="n">
        <f aca="false">AVERAGE(B3:B12)</f>
        <v>6.2</v>
      </c>
    </row>
    <row r="5" customFormat="false" ht="15" hidden="false" customHeight="true" outlineLevel="0" collapsed="false">
      <c r="A5" s="18" t="n">
        <v>3</v>
      </c>
      <c r="B5" s="18" t="n">
        <v>2</v>
      </c>
      <c r="C5" s="18" t="n">
        <v>1</v>
      </c>
      <c r="D5" s="6" t="n">
        <f aca="false">(B5-$L$4)/$L$6</f>
        <v>-1.37805771366839</v>
      </c>
      <c r="E5" s="6" t="n">
        <f aca="false">(C5-$L$5)/$L$7</f>
        <v>-1.3231816642469</v>
      </c>
      <c r="F5" s="6" t="n">
        <f aca="false">D5*E5</f>
        <v>1.82342069900002</v>
      </c>
      <c r="G5" s="6" t="n">
        <f aca="false">(B5-$L$4)^2</f>
        <v>17.64</v>
      </c>
      <c r="H5" s="6" t="n">
        <f aca="false">(C5-$L$5)^2</f>
        <v>38.44</v>
      </c>
      <c r="J5" s="24" t="s">
        <v>125</v>
      </c>
      <c r="K5" s="18" t="s">
        <v>126</v>
      </c>
      <c r="L5" s="6" t="n">
        <f aca="false">AVERAGE(C3:C12)</f>
        <v>7.2</v>
      </c>
    </row>
    <row r="6" customFormat="false" ht="15" hidden="false" customHeight="true" outlineLevel="0" collapsed="false">
      <c r="A6" s="19" t="n">
        <v>4</v>
      </c>
      <c r="B6" s="19" t="n">
        <v>10</v>
      </c>
      <c r="C6" s="19" t="n">
        <v>12</v>
      </c>
      <c r="D6" s="9" t="n">
        <f aca="false">(B6-$L$4)/$L$6</f>
        <v>1.24681412189045</v>
      </c>
      <c r="E6" s="9" t="n">
        <f aca="false">(C6-$L$5)/$L$7</f>
        <v>1.02439870780405</v>
      </c>
      <c r="F6" s="9" t="n">
        <f aca="false">D6*E6</f>
        <v>1.27723477533642</v>
      </c>
      <c r="G6" s="9" t="n">
        <f aca="false">(B6-$L$4)^2</f>
        <v>14.44</v>
      </c>
      <c r="H6" s="9" t="n">
        <f aca="false">(C6-$L$5)^2</f>
        <v>23.04</v>
      </c>
      <c r="J6" s="22" t="s">
        <v>127</v>
      </c>
      <c r="K6" s="19" t="s">
        <v>128</v>
      </c>
      <c r="L6" s="9" t="n">
        <f aca="false">STDEV(B3:B12)</f>
        <v>3.04776785350999</v>
      </c>
    </row>
    <row r="7" customFormat="false" ht="15" hidden="false" customHeight="true" outlineLevel="0" collapsed="false">
      <c r="A7" s="18" t="n">
        <v>5</v>
      </c>
      <c r="B7" s="18" t="n">
        <v>11</v>
      </c>
      <c r="C7" s="18" t="n">
        <v>9</v>
      </c>
      <c r="D7" s="6" t="n">
        <f aca="false">(B7-$L$4)/$L$6</f>
        <v>1.57492310133531</v>
      </c>
      <c r="E7" s="6" t="n">
        <f aca="false">(C7-$L$5)/$L$7</f>
        <v>0.384149515426519</v>
      </c>
      <c r="F7" s="6" t="n">
        <f aca="false">D7*E7</f>
        <v>0.605005946211988</v>
      </c>
      <c r="G7" s="6" t="n">
        <f aca="false">(B7-$L$4)^2</f>
        <v>23.04</v>
      </c>
      <c r="H7" s="6" t="n">
        <f aca="false">(C7-$L$5)^2</f>
        <v>3.24</v>
      </c>
      <c r="J7" s="24" t="s">
        <v>129</v>
      </c>
      <c r="K7" s="18" t="s">
        <v>130</v>
      </c>
      <c r="L7" s="6" t="n">
        <f aca="false">STDEV(C3:C12)</f>
        <v>4.68567557088149</v>
      </c>
    </row>
    <row r="8" customFormat="false" ht="15" hidden="false" customHeight="true" outlineLevel="0" collapsed="false">
      <c r="A8" s="19" t="n">
        <v>6</v>
      </c>
      <c r="B8" s="19" t="n">
        <v>3</v>
      </c>
      <c r="C8" s="19" t="n">
        <v>4</v>
      </c>
      <c r="D8" s="9" t="n">
        <f aca="false">(B8-$L$4)/$L$6</f>
        <v>-1.04994873422354</v>
      </c>
      <c r="E8" s="9" t="n">
        <f aca="false">(C8-$L$5)/$L$7</f>
        <v>-0.682932471869367</v>
      </c>
      <c r="F8" s="9" t="n">
        <f aca="false">D8*E8</f>
        <v>0.717044084399393</v>
      </c>
      <c r="G8" s="9" t="n">
        <f aca="false">(B8-$L$4)^2</f>
        <v>10.24</v>
      </c>
      <c r="H8" s="9" t="n">
        <f aca="false">(C8-$L$5)^2</f>
        <v>10.24</v>
      </c>
      <c r="J8" s="22" t="s">
        <v>131</v>
      </c>
      <c r="K8" s="19" t="s">
        <v>132</v>
      </c>
      <c r="L8" s="9" t="n">
        <f aca="false">SUM(F3:F12)</f>
        <v>3.96334913837946</v>
      </c>
    </row>
    <row r="9" customFormat="false" ht="15" hidden="false" customHeight="true" outlineLevel="0" collapsed="false">
      <c r="A9" s="18" t="n">
        <v>7</v>
      </c>
      <c r="B9" s="18" t="n">
        <v>6</v>
      </c>
      <c r="C9" s="18" t="n">
        <v>9</v>
      </c>
      <c r="D9" s="6" t="n">
        <f aca="false">(B9-$L$4)/$L$6</f>
        <v>-0.0656217958889711</v>
      </c>
      <c r="E9" s="6" t="n">
        <f aca="false">(C9-$L$5)/$L$7</f>
        <v>0.384149515426519</v>
      </c>
      <c r="F9" s="6" t="n">
        <f aca="false">D9*E9</f>
        <v>-0.0252085810921662</v>
      </c>
      <c r="G9" s="6" t="n">
        <f aca="false">(B9-$L$4)^2</f>
        <v>0.0400000000000001</v>
      </c>
      <c r="H9" s="6" t="n">
        <f aca="false">(C9-$L$5)^2</f>
        <v>3.24</v>
      </c>
      <c r="J9" s="24" t="s">
        <v>133</v>
      </c>
      <c r="K9" s="18" t="s">
        <v>134</v>
      </c>
      <c r="L9" s="6" t="n">
        <f aca="false">L8/(COUNT(B3:B12)-1)</f>
        <v>0.440372126486606</v>
      </c>
    </row>
    <row r="10" customFormat="false" ht="15" hidden="false" customHeight="true" outlineLevel="0" collapsed="false">
      <c r="A10" s="19" t="n">
        <v>8</v>
      </c>
      <c r="B10" s="19" t="n">
        <v>5</v>
      </c>
      <c r="C10" s="19" t="n">
        <v>6</v>
      </c>
      <c r="D10" s="9" t="n">
        <f aca="false">(B10-$L$4)/$L$6</f>
        <v>-0.393730775333826</v>
      </c>
      <c r="E10" s="9" t="n">
        <f aca="false">(C10-$L$5)/$L$7</f>
        <v>-0.256099676951013</v>
      </c>
      <c r="F10" s="9" t="n">
        <f aca="false">D10*E10</f>
        <v>0.100834324368665</v>
      </c>
      <c r="G10" s="9" t="n">
        <f aca="false">(B10-$L$4)^2</f>
        <v>1.44</v>
      </c>
      <c r="H10" s="9" t="n">
        <f aca="false">(C10-$L$5)^2</f>
        <v>1.44</v>
      </c>
      <c r="J10" s="22" t="s">
        <v>135</v>
      </c>
      <c r="K10" s="19" t="s">
        <v>134</v>
      </c>
      <c r="L10" s="9" t="n">
        <f aca="false">CORREL(B3:B12,C3:C12)</f>
        <v>0.440372126486606</v>
      </c>
    </row>
    <row r="11" customFormat="false" ht="15" hidden="false" customHeight="true" outlineLevel="0" collapsed="false">
      <c r="A11" s="18" t="n">
        <v>9</v>
      </c>
      <c r="B11" s="18" t="n">
        <v>6</v>
      </c>
      <c r="C11" s="18" t="n">
        <v>1</v>
      </c>
      <c r="D11" s="6" t="n">
        <f aca="false">(B11-$L$4)/$L$6</f>
        <v>-0.0656217958889711</v>
      </c>
      <c r="E11" s="6" t="n">
        <f aca="false">(C11-$L$5)/$L$7</f>
        <v>-1.3231816642469</v>
      </c>
      <c r="F11" s="6" t="n">
        <f aca="false">D11*E11</f>
        <v>0.086829557095239</v>
      </c>
      <c r="G11" s="6" t="n">
        <f aca="false">(B11-$L$4)^2</f>
        <v>0.0400000000000001</v>
      </c>
      <c r="H11" s="6" t="n">
        <f aca="false">(C11-$L$5)^2</f>
        <v>38.44</v>
      </c>
    </row>
    <row r="12" customFormat="false" ht="15" hidden="false" customHeight="true" outlineLevel="0" collapsed="false">
      <c r="A12" s="19" t="n">
        <v>10</v>
      </c>
      <c r="B12" s="19" t="n">
        <v>8</v>
      </c>
      <c r="C12" s="19" t="n">
        <v>14</v>
      </c>
      <c r="D12" s="9" t="n">
        <f aca="false">(B12-$L$4)/$L$6</f>
        <v>0.59059616300074</v>
      </c>
      <c r="E12" s="9" t="n">
        <f aca="false">(C12-$L$5)/$L$7</f>
        <v>1.4512315027224</v>
      </c>
      <c r="F12" s="9" t="n">
        <f aca="false">D12*E12</f>
        <v>0.857091757133649</v>
      </c>
      <c r="G12" s="9" t="n">
        <f aca="false">(B12-$L$4)^2</f>
        <v>3.24</v>
      </c>
      <c r="H12" s="9" t="n">
        <f aca="false">(C12-$L$5)^2</f>
        <v>46.24</v>
      </c>
    </row>
    <row r="14" customFormat="false" ht="15" hidden="false" customHeight="true" outlineLevel="0" collapsed="false">
      <c r="A14" s="10" t="s">
        <v>84</v>
      </c>
      <c r="B14" s="13" t="n">
        <f aca="false">SUM(B3:B13)</f>
        <v>62</v>
      </c>
      <c r="C14" s="13" t="n">
        <f aca="false">SUM(C3:C13)</f>
        <v>72</v>
      </c>
      <c r="F14" s="13" t="n">
        <f aca="false">SUM(F3:F13)</f>
        <v>3.96334913837946</v>
      </c>
      <c r="G14" s="13" t="n">
        <f aca="false">SUM(G3:G13)</f>
        <v>83.6</v>
      </c>
      <c r="H14" s="13" t="n">
        <f aca="false">SUM(H3:H13)</f>
        <v>197.6</v>
      </c>
    </row>
  </sheetData>
  <mergeCells count="2">
    <mergeCell ref="A1:H1"/>
    <mergeCell ref="J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2026-05-08T16:33:44Z</dcterms:created>
  <dc:creator>openpyxl</dc:creator>
  <dc:description/>
  <dc:language>en-US</dc:language>
  <cp:lastModifiedBy/>
  <dcterms:modified xsi:type="dcterms:W3CDTF">2026-05-09T01:54:49Z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